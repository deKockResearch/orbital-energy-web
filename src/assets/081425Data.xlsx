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tn2/src/orbital-energy-web/src/assets/"/>
    </mc:Choice>
  </mc:AlternateContent>
  <xr:revisionPtr revIDLastSave="0" documentId="13_ncr:1_{3949E95B-85F9-3E4A-BC11-6F939FB504A6}" xr6:coauthVersionLast="47" xr6:coauthVersionMax="47" xr10:uidLastSave="{00000000-0000-0000-0000-000000000000}"/>
  <bookViews>
    <workbookView xWindow="57500" yWindow="1180" windowWidth="32720" windowHeight="18700" xr2:uid="{6FB19B8F-77AB-427E-8C06-AA7297D95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D90" i="1" l="1"/>
  <c r="DD89" i="1"/>
  <c r="EC78" i="1"/>
  <c r="EC77" i="1"/>
  <c r="EC66" i="1"/>
  <c r="DD65" i="1"/>
  <c r="EM6" i="1"/>
  <c r="EM7" i="1"/>
  <c r="EN7" i="1"/>
  <c r="EM8" i="1"/>
  <c r="EN8" i="1"/>
  <c r="EM9" i="1"/>
  <c r="EN9" i="1"/>
  <c r="EO9" i="1"/>
  <c r="EM10" i="1"/>
  <c r="EN10" i="1"/>
  <c r="EO10" i="1"/>
  <c r="EM11" i="1"/>
  <c r="EN11" i="1"/>
  <c r="EO11" i="1"/>
  <c r="EM12" i="1"/>
  <c r="EN12" i="1"/>
  <c r="EO12" i="1"/>
  <c r="EM13" i="1"/>
  <c r="EN13" i="1"/>
  <c r="EO13" i="1"/>
  <c r="EM14" i="1"/>
  <c r="EN14" i="1"/>
  <c r="EO14" i="1"/>
  <c r="EM15" i="1"/>
  <c r="EN15" i="1"/>
  <c r="EO15" i="1"/>
  <c r="EP15" i="1"/>
  <c r="EM16" i="1"/>
  <c r="EN16" i="1"/>
  <c r="EO16" i="1"/>
  <c r="EP16" i="1"/>
  <c r="EM17" i="1"/>
  <c r="EN17" i="1"/>
  <c r="EO17" i="1"/>
  <c r="EP17" i="1"/>
  <c r="EQ17" i="1"/>
  <c r="EM18" i="1"/>
  <c r="EN18" i="1"/>
  <c r="EO18" i="1"/>
  <c r="EP18" i="1"/>
  <c r="EQ18" i="1"/>
  <c r="EM19" i="1"/>
  <c r="EN19" i="1"/>
  <c r="EO19" i="1"/>
  <c r="EP19" i="1"/>
  <c r="EQ19" i="1"/>
  <c r="EM20" i="1"/>
  <c r="EN20" i="1"/>
  <c r="EO20" i="1"/>
  <c r="EP20" i="1"/>
  <c r="EQ20" i="1"/>
  <c r="EM21" i="1"/>
  <c r="EN21" i="1"/>
  <c r="EO21" i="1"/>
  <c r="EP21" i="1"/>
  <c r="EQ21" i="1"/>
  <c r="EM22" i="1"/>
  <c r="EN22" i="1"/>
  <c r="EO22" i="1"/>
  <c r="EP22" i="1"/>
  <c r="EQ22" i="1"/>
  <c r="EM23" i="1"/>
  <c r="EN23" i="1"/>
  <c r="EO23" i="1"/>
  <c r="EP23" i="1"/>
  <c r="EQ23" i="1"/>
  <c r="ER23" i="1"/>
  <c r="EM24" i="1"/>
  <c r="EN24" i="1"/>
  <c r="EO24" i="1"/>
  <c r="EP24" i="1"/>
  <c r="EQ24" i="1"/>
  <c r="ER24" i="1"/>
  <c r="EM5" i="1"/>
  <c r="DN6" i="1"/>
  <c r="DN7" i="1"/>
  <c r="DO7" i="1"/>
  <c r="DN8" i="1"/>
  <c r="DO8" i="1"/>
  <c r="DN9" i="1"/>
  <c r="DO9" i="1"/>
  <c r="DP9" i="1"/>
  <c r="DN10" i="1"/>
  <c r="DO10" i="1"/>
  <c r="DP10" i="1"/>
  <c r="DN11" i="1"/>
  <c r="DO11" i="1"/>
  <c r="DP11" i="1"/>
  <c r="DN12" i="1"/>
  <c r="DO12" i="1"/>
  <c r="DP12" i="1"/>
  <c r="DN13" i="1"/>
  <c r="DO13" i="1"/>
  <c r="DP13" i="1"/>
  <c r="DN14" i="1"/>
  <c r="DO14" i="1"/>
  <c r="DP14" i="1"/>
  <c r="DN15" i="1"/>
  <c r="DO15" i="1"/>
  <c r="DP15" i="1"/>
  <c r="DQ15" i="1"/>
  <c r="DN16" i="1"/>
  <c r="DO16" i="1"/>
  <c r="DP16" i="1"/>
  <c r="DQ16" i="1"/>
  <c r="DN17" i="1"/>
  <c r="DO17" i="1"/>
  <c r="DP17" i="1"/>
  <c r="DQ17" i="1"/>
  <c r="DR17" i="1"/>
  <c r="DN18" i="1"/>
  <c r="DO18" i="1"/>
  <c r="DP18" i="1"/>
  <c r="DQ18" i="1"/>
  <c r="DR18" i="1"/>
  <c r="DN19" i="1"/>
  <c r="DO19" i="1"/>
  <c r="DP19" i="1"/>
  <c r="DQ19" i="1"/>
  <c r="DR19" i="1"/>
  <c r="DN20" i="1"/>
  <c r="DO20" i="1"/>
  <c r="DP20" i="1"/>
  <c r="DQ20" i="1"/>
  <c r="DR20" i="1"/>
  <c r="DN21" i="1"/>
  <c r="DO21" i="1"/>
  <c r="DP21" i="1"/>
  <c r="DQ21" i="1"/>
  <c r="DR21" i="1"/>
  <c r="DN22" i="1"/>
  <c r="DO22" i="1"/>
  <c r="DP22" i="1"/>
  <c r="DQ22" i="1"/>
  <c r="DR22" i="1"/>
  <c r="DN23" i="1"/>
  <c r="DO23" i="1"/>
  <c r="DP23" i="1"/>
  <c r="DQ23" i="1"/>
  <c r="DR23" i="1"/>
  <c r="DS23" i="1"/>
  <c r="DN24" i="1"/>
  <c r="DO24" i="1"/>
  <c r="DP24" i="1"/>
  <c r="DQ24" i="1"/>
  <c r="DR24" i="1"/>
  <c r="DS24" i="1"/>
  <c r="DN5" i="1"/>
  <c r="DT6" i="1"/>
  <c r="DT7" i="1"/>
  <c r="DU7" i="1"/>
  <c r="DT8" i="1"/>
  <c r="DU8" i="1"/>
  <c r="DT9" i="1"/>
  <c r="DU9" i="1"/>
  <c r="DV9" i="1"/>
  <c r="DT10" i="1"/>
  <c r="DU10" i="1"/>
  <c r="DV10" i="1"/>
  <c r="DT11" i="1"/>
  <c r="DU11" i="1"/>
  <c r="DV11" i="1"/>
  <c r="DT12" i="1"/>
  <c r="DU12" i="1"/>
  <c r="DV12" i="1"/>
  <c r="DT13" i="1"/>
  <c r="DU13" i="1"/>
  <c r="DV13" i="1"/>
  <c r="DT14" i="1"/>
  <c r="DU14" i="1"/>
  <c r="DV14" i="1"/>
  <c r="DT15" i="1"/>
  <c r="DU15" i="1"/>
  <c r="DV15" i="1"/>
  <c r="DW15" i="1"/>
  <c r="DT16" i="1"/>
  <c r="DU16" i="1"/>
  <c r="DV16" i="1"/>
  <c r="DW16" i="1"/>
  <c r="DT17" i="1"/>
  <c r="DU17" i="1"/>
  <c r="DV17" i="1"/>
  <c r="DW17" i="1"/>
  <c r="DX17" i="1"/>
  <c r="DT18" i="1"/>
  <c r="DU18" i="1"/>
  <c r="DV18" i="1"/>
  <c r="DW18" i="1"/>
  <c r="DX18" i="1"/>
  <c r="DT19" i="1"/>
  <c r="DU19" i="1"/>
  <c r="DV19" i="1"/>
  <c r="DW19" i="1"/>
  <c r="DX19" i="1"/>
  <c r="DT20" i="1"/>
  <c r="DU20" i="1"/>
  <c r="DV20" i="1"/>
  <c r="DW20" i="1"/>
  <c r="DX20" i="1"/>
  <c r="DT21" i="1"/>
  <c r="DU21" i="1"/>
  <c r="DV21" i="1"/>
  <c r="DW21" i="1"/>
  <c r="DX21" i="1"/>
  <c r="DT22" i="1"/>
  <c r="DU22" i="1"/>
  <c r="DV22" i="1"/>
  <c r="DW22" i="1"/>
  <c r="DX22" i="1"/>
  <c r="DT23" i="1"/>
  <c r="DU23" i="1"/>
  <c r="DV23" i="1"/>
  <c r="DW23" i="1"/>
  <c r="DX23" i="1"/>
  <c r="DZ23" i="1"/>
  <c r="DT24" i="1"/>
  <c r="DU24" i="1"/>
  <c r="DV24" i="1"/>
  <c r="DW24" i="1"/>
  <c r="DX24" i="1"/>
  <c r="DZ24" i="1"/>
  <c r="DT25" i="1"/>
  <c r="DU25" i="1"/>
  <c r="DV25" i="1"/>
  <c r="DW25" i="1"/>
  <c r="DX25" i="1"/>
  <c r="DY25" i="1"/>
  <c r="DZ25" i="1"/>
  <c r="DT26" i="1"/>
  <c r="DU26" i="1"/>
  <c r="DV26" i="1"/>
  <c r="DW26" i="1"/>
  <c r="DX26" i="1"/>
  <c r="DY26" i="1"/>
  <c r="DZ26" i="1"/>
  <c r="DT27" i="1"/>
  <c r="DU27" i="1"/>
  <c r="DV27" i="1"/>
  <c r="DW27" i="1"/>
  <c r="DX27" i="1"/>
  <c r="DY27" i="1"/>
  <c r="DZ27" i="1"/>
  <c r="DT28" i="1"/>
  <c r="DU28" i="1"/>
  <c r="DV28" i="1"/>
  <c r="DW28" i="1"/>
  <c r="DX28" i="1"/>
  <c r="DY28" i="1"/>
  <c r="DZ28" i="1"/>
  <c r="DT29" i="1"/>
  <c r="DU29" i="1"/>
  <c r="DV29" i="1"/>
  <c r="DW29" i="1"/>
  <c r="DX29" i="1"/>
  <c r="DY29" i="1"/>
  <c r="DZ29" i="1"/>
  <c r="DT30" i="1"/>
  <c r="DU30" i="1"/>
  <c r="DV30" i="1"/>
  <c r="DW30" i="1"/>
  <c r="DX30" i="1"/>
  <c r="DY30" i="1"/>
  <c r="DZ30" i="1"/>
  <c r="DT31" i="1"/>
  <c r="DU31" i="1"/>
  <c r="DV31" i="1"/>
  <c r="DW31" i="1"/>
  <c r="DX31" i="1"/>
  <c r="DY31" i="1"/>
  <c r="DZ31" i="1"/>
  <c r="DT32" i="1"/>
  <c r="DU32" i="1"/>
  <c r="DV32" i="1"/>
  <c r="DW32" i="1"/>
  <c r="DX32" i="1"/>
  <c r="DY32" i="1"/>
  <c r="DZ32" i="1"/>
  <c r="DT33" i="1"/>
  <c r="DU33" i="1"/>
  <c r="DV33" i="1"/>
  <c r="DW33" i="1"/>
  <c r="DX33" i="1"/>
  <c r="DY33" i="1"/>
  <c r="DZ33" i="1"/>
  <c r="DT34" i="1"/>
  <c r="DU34" i="1"/>
  <c r="DV34" i="1"/>
  <c r="DW34" i="1"/>
  <c r="DX34" i="1"/>
  <c r="DY34" i="1"/>
  <c r="DZ34" i="1"/>
  <c r="DT35" i="1"/>
  <c r="DU35" i="1"/>
  <c r="DV35" i="1"/>
  <c r="DW35" i="1"/>
  <c r="DX35" i="1"/>
  <c r="DY35" i="1"/>
  <c r="DZ35" i="1"/>
  <c r="EA35" i="1"/>
  <c r="DT36" i="1"/>
  <c r="DU36" i="1"/>
  <c r="DV36" i="1"/>
  <c r="DW36" i="1"/>
  <c r="DX36" i="1"/>
  <c r="DY36" i="1"/>
  <c r="DZ36" i="1"/>
  <c r="EA36" i="1"/>
  <c r="DT37" i="1"/>
  <c r="DU37" i="1"/>
  <c r="DV37" i="1"/>
  <c r="DW37" i="1"/>
  <c r="DX37" i="1"/>
  <c r="DY37" i="1"/>
  <c r="DZ37" i="1"/>
  <c r="EA37" i="1"/>
  <c r="DT38" i="1"/>
  <c r="DU38" i="1"/>
  <c r="DV38" i="1"/>
  <c r="DW38" i="1"/>
  <c r="DX38" i="1"/>
  <c r="DY38" i="1"/>
  <c r="DZ38" i="1"/>
  <c r="EA38" i="1"/>
  <c r="DT39" i="1"/>
  <c r="DU39" i="1"/>
  <c r="DV39" i="1"/>
  <c r="DW39" i="1"/>
  <c r="DX39" i="1"/>
  <c r="DY39" i="1"/>
  <c r="DZ39" i="1"/>
  <c r="EA39" i="1"/>
  <c r="DT40" i="1"/>
  <c r="DU40" i="1"/>
  <c r="DV40" i="1"/>
  <c r="DW40" i="1"/>
  <c r="DX40" i="1"/>
  <c r="DY40" i="1"/>
  <c r="DZ40" i="1"/>
  <c r="EA40" i="1"/>
  <c r="DT41" i="1"/>
  <c r="DU41" i="1"/>
  <c r="DV41" i="1"/>
  <c r="DW41" i="1"/>
  <c r="DX41" i="1"/>
  <c r="DY41" i="1"/>
  <c r="DZ41" i="1"/>
  <c r="EA41" i="1"/>
  <c r="ED41" i="1"/>
  <c r="DT42" i="1"/>
  <c r="DU42" i="1"/>
  <c r="DV42" i="1"/>
  <c r="DW42" i="1"/>
  <c r="DX42" i="1"/>
  <c r="DY42" i="1"/>
  <c r="DZ42" i="1"/>
  <c r="EA42" i="1"/>
  <c r="ED42" i="1"/>
  <c r="DT43" i="1"/>
  <c r="DU43" i="1"/>
  <c r="DV43" i="1"/>
  <c r="DW43" i="1"/>
  <c r="DX43" i="1"/>
  <c r="DY43" i="1"/>
  <c r="DZ43" i="1"/>
  <c r="EA43" i="1"/>
  <c r="EB43" i="1"/>
  <c r="ED43" i="1"/>
  <c r="DT44" i="1"/>
  <c r="DU44" i="1"/>
  <c r="DV44" i="1"/>
  <c r="DW44" i="1"/>
  <c r="DX44" i="1"/>
  <c r="DY44" i="1"/>
  <c r="DZ44" i="1"/>
  <c r="EA44" i="1"/>
  <c r="ED44" i="1"/>
  <c r="DT45" i="1"/>
  <c r="DU45" i="1"/>
  <c r="DV45" i="1"/>
  <c r="DW45" i="1"/>
  <c r="DX45" i="1"/>
  <c r="DY45" i="1"/>
  <c r="DZ45" i="1"/>
  <c r="EA45" i="1"/>
  <c r="EB45" i="1"/>
  <c r="ED45" i="1"/>
  <c r="DT46" i="1"/>
  <c r="DU46" i="1"/>
  <c r="DV46" i="1"/>
  <c r="DW46" i="1"/>
  <c r="DX46" i="1"/>
  <c r="DY46" i="1"/>
  <c r="DZ46" i="1"/>
  <c r="EA46" i="1"/>
  <c r="EB46" i="1"/>
  <c r="ED46" i="1"/>
  <c r="DT47" i="1"/>
  <c r="DU47" i="1"/>
  <c r="DV47" i="1"/>
  <c r="DW47" i="1"/>
  <c r="DX47" i="1"/>
  <c r="DY47" i="1"/>
  <c r="DZ47" i="1"/>
  <c r="EA47" i="1"/>
  <c r="EB47" i="1"/>
  <c r="ED47" i="1"/>
  <c r="DT48" i="1"/>
  <c r="DU48" i="1"/>
  <c r="DV48" i="1"/>
  <c r="DW48" i="1"/>
  <c r="DX48" i="1"/>
  <c r="DY48" i="1"/>
  <c r="DZ48" i="1"/>
  <c r="EA48" i="1"/>
  <c r="EB48" i="1"/>
  <c r="ED48" i="1"/>
  <c r="DT49" i="1"/>
  <c r="DU49" i="1"/>
  <c r="DV49" i="1"/>
  <c r="DW49" i="1"/>
  <c r="DX49" i="1"/>
  <c r="DY49" i="1"/>
  <c r="DZ49" i="1"/>
  <c r="EA49" i="1"/>
  <c r="EB49" i="1"/>
  <c r="ED49" i="1"/>
  <c r="DT50" i="1"/>
  <c r="DU50" i="1"/>
  <c r="DV50" i="1"/>
  <c r="DW50" i="1"/>
  <c r="DX50" i="1"/>
  <c r="DY50" i="1"/>
  <c r="DZ50" i="1"/>
  <c r="EA50" i="1"/>
  <c r="EB50" i="1"/>
  <c r="DT51" i="1"/>
  <c r="DU51" i="1"/>
  <c r="DV51" i="1"/>
  <c r="DW51" i="1"/>
  <c r="DX51" i="1"/>
  <c r="DY51" i="1"/>
  <c r="DZ51" i="1"/>
  <c r="EA51" i="1"/>
  <c r="EB51" i="1"/>
  <c r="ED51" i="1"/>
  <c r="DT52" i="1"/>
  <c r="DU52" i="1"/>
  <c r="DV52" i="1"/>
  <c r="DW52" i="1"/>
  <c r="DX52" i="1"/>
  <c r="DY52" i="1"/>
  <c r="DZ52" i="1"/>
  <c r="EA52" i="1"/>
  <c r="EB52" i="1"/>
  <c r="ED52" i="1"/>
  <c r="DT53" i="1"/>
  <c r="DU53" i="1"/>
  <c r="DV53" i="1"/>
  <c r="DW53" i="1"/>
  <c r="DX53" i="1"/>
  <c r="DY53" i="1"/>
  <c r="DZ53" i="1"/>
  <c r="EA53" i="1"/>
  <c r="EB53" i="1"/>
  <c r="ED53" i="1"/>
  <c r="EE53" i="1"/>
  <c r="DT54" i="1"/>
  <c r="DU54" i="1"/>
  <c r="DV54" i="1"/>
  <c r="DW54" i="1"/>
  <c r="DX54" i="1"/>
  <c r="DY54" i="1"/>
  <c r="DZ54" i="1"/>
  <c r="EA54" i="1"/>
  <c r="EB54" i="1"/>
  <c r="ED54" i="1"/>
  <c r="EE54" i="1"/>
  <c r="DT55" i="1"/>
  <c r="DU55" i="1"/>
  <c r="DV55" i="1"/>
  <c r="DW55" i="1"/>
  <c r="DX55" i="1"/>
  <c r="DY55" i="1"/>
  <c r="DZ55" i="1"/>
  <c r="EA55" i="1"/>
  <c r="EB55" i="1"/>
  <c r="ED55" i="1"/>
  <c r="EE55" i="1"/>
  <c r="DT56" i="1"/>
  <c r="DU56" i="1"/>
  <c r="DV56" i="1"/>
  <c r="DW56" i="1"/>
  <c r="DX56" i="1"/>
  <c r="DY56" i="1"/>
  <c r="DZ56" i="1"/>
  <c r="EA56" i="1"/>
  <c r="EB56" i="1"/>
  <c r="ED56" i="1"/>
  <c r="EE56" i="1"/>
  <c r="DT57" i="1"/>
  <c r="DU57" i="1"/>
  <c r="DV57" i="1"/>
  <c r="DW57" i="1"/>
  <c r="DX57" i="1"/>
  <c r="DY57" i="1"/>
  <c r="DZ57" i="1"/>
  <c r="EA57" i="1"/>
  <c r="EB57" i="1"/>
  <c r="ED57" i="1"/>
  <c r="EE57" i="1"/>
  <c r="DT58" i="1"/>
  <c r="DU58" i="1"/>
  <c r="DV58" i="1"/>
  <c r="DW58" i="1"/>
  <c r="DX58" i="1"/>
  <c r="DY58" i="1"/>
  <c r="DZ58" i="1"/>
  <c r="EA58" i="1"/>
  <c r="EB58" i="1"/>
  <c r="ED58" i="1"/>
  <c r="EE58" i="1"/>
  <c r="DT59" i="1"/>
  <c r="DU59" i="1"/>
  <c r="DV59" i="1"/>
  <c r="DW59" i="1"/>
  <c r="DX59" i="1"/>
  <c r="DY59" i="1"/>
  <c r="DZ59" i="1"/>
  <c r="EA59" i="1"/>
  <c r="EB59" i="1"/>
  <c r="ED59" i="1"/>
  <c r="EE59" i="1"/>
  <c r="EH59" i="1"/>
  <c r="DT60" i="1"/>
  <c r="DU60" i="1"/>
  <c r="DV60" i="1"/>
  <c r="DW60" i="1"/>
  <c r="DX60" i="1"/>
  <c r="DY60" i="1"/>
  <c r="DZ60" i="1"/>
  <c r="EA60" i="1"/>
  <c r="EB60" i="1"/>
  <c r="ED60" i="1"/>
  <c r="EE60" i="1"/>
  <c r="EH60" i="1"/>
  <c r="DT61" i="1"/>
  <c r="DU61" i="1"/>
  <c r="DV61" i="1"/>
  <c r="DW61" i="1"/>
  <c r="DX61" i="1"/>
  <c r="DY61" i="1"/>
  <c r="DZ61" i="1"/>
  <c r="EA61" i="1"/>
  <c r="EB61" i="1"/>
  <c r="ED61" i="1"/>
  <c r="EE61" i="1"/>
  <c r="EF61" i="1"/>
  <c r="EH61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H62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H63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H64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H65" i="1"/>
  <c r="DT66" i="1"/>
  <c r="DU66" i="1"/>
  <c r="DV66" i="1"/>
  <c r="DW66" i="1"/>
  <c r="DX66" i="1"/>
  <c r="DY66" i="1"/>
  <c r="DZ66" i="1"/>
  <c r="EA66" i="1"/>
  <c r="EB66" i="1"/>
  <c r="ED66" i="1"/>
  <c r="EE66" i="1"/>
  <c r="EH66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H67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H68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H69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H70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H71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H72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H73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H74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H75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H76" i="1"/>
  <c r="DT77" i="1"/>
  <c r="DU77" i="1"/>
  <c r="DV77" i="1"/>
  <c r="DW77" i="1"/>
  <c r="DX77" i="1"/>
  <c r="DY77" i="1"/>
  <c r="DZ77" i="1"/>
  <c r="EA77" i="1"/>
  <c r="EB77" i="1"/>
  <c r="ED77" i="1"/>
  <c r="EE77" i="1"/>
  <c r="EF77" i="1"/>
  <c r="EH77" i="1"/>
  <c r="DT78" i="1"/>
  <c r="DU78" i="1"/>
  <c r="DV78" i="1"/>
  <c r="DW78" i="1"/>
  <c r="DX78" i="1"/>
  <c r="DY78" i="1"/>
  <c r="DZ78" i="1"/>
  <c r="EA78" i="1"/>
  <c r="EB78" i="1"/>
  <c r="ED78" i="1"/>
  <c r="EE78" i="1"/>
  <c r="EF78" i="1"/>
  <c r="EH78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H79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H80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H81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H82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H83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H84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H85" i="1"/>
  <c r="EI85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H86" i="1"/>
  <c r="EI86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H87" i="1"/>
  <c r="EI87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H88" i="1"/>
  <c r="EI88" i="1"/>
  <c r="DT89" i="1"/>
  <c r="DU89" i="1"/>
  <c r="DV89" i="1"/>
  <c r="DW89" i="1"/>
  <c r="DX89" i="1"/>
  <c r="DY89" i="1"/>
  <c r="DZ89" i="1"/>
  <c r="EA89" i="1"/>
  <c r="EB89" i="1"/>
  <c r="ED89" i="1"/>
  <c r="EE89" i="1"/>
  <c r="EF89" i="1"/>
  <c r="EH89" i="1"/>
  <c r="EI89" i="1"/>
  <c r="DT90" i="1"/>
  <c r="DU90" i="1"/>
  <c r="DV90" i="1"/>
  <c r="DW90" i="1"/>
  <c r="DX90" i="1"/>
  <c r="DY90" i="1"/>
  <c r="DZ90" i="1"/>
  <c r="EA90" i="1"/>
  <c r="EB90" i="1"/>
  <c r="ED90" i="1"/>
  <c r="EE90" i="1"/>
  <c r="EF90" i="1"/>
  <c r="EH90" i="1"/>
  <c r="EI90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H91" i="1"/>
  <c r="EI91" i="1"/>
  <c r="EK91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H92" i="1"/>
  <c r="EI92" i="1"/>
  <c r="EK92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H93" i="1"/>
  <c r="EI93" i="1"/>
  <c r="EJ93" i="1"/>
  <c r="EK93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H94" i="1"/>
  <c r="EI94" i="1"/>
  <c r="EJ94" i="1"/>
  <c r="EK94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K98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K99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DT5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CU6" i="1"/>
  <c r="CU7" i="1"/>
  <c r="CV7" i="1"/>
  <c r="CU8" i="1"/>
  <c r="CV8" i="1"/>
  <c r="CU9" i="1"/>
  <c r="CV9" i="1"/>
  <c r="CW9" i="1"/>
  <c r="CU10" i="1"/>
  <c r="CV10" i="1"/>
  <c r="CW10" i="1"/>
  <c r="CU11" i="1"/>
  <c r="CV11" i="1"/>
  <c r="CW11" i="1"/>
  <c r="CU12" i="1"/>
  <c r="CV12" i="1"/>
  <c r="CW12" i="1"/>
  <c r="CU13" i="1"/>
  <c r="CV13" i="1"/>
  <c r="CW13" i="1"/>
  <c r="CU14" i="1"/>
  <c r="CV14" i="1"/>
  <c r="CW14" i="1"/>
  <c r="CU15" i="1"/>
  <c r="CV15" i="1"/>
  <c r="CW15" i="1"/>
  <c r="CX15" i="1"/>
  <c r="CU16" i="1"/>
  <c r="CV16" i="1"/>
  <c r="CW16" i="1"/>
  <c r="CX16" i="1"/>
  <c r="CU17" i="1"/>
  <c r="CV17" i="1"/>
  <c r="CW17" i="1"/>
  <c r="CX17" i="1"/>
  <c r="CY17" i="1"/>
  <c r="CU18" i="1"/>
  <c r="CV18" i="1"/>
  <c r="CW18" i="1"/>
  <c r="CX18" i="1"/>
  <c r="CY18" i="1"/>
  <c r="CU19" i="1"/>
  <c r="CV19" i="1"/>
  <c r="CW19" i="1"/>
  <c r="CX19" i="1"/>
  <c r="CY19" i="1"/>
  <c r="CU20" i="1"/>
  <c r="CV20" i="1"/>
  <c r="CW20" i="1"/>
  <c r="CX20" i="1"/>
  <c r="CY20" i="1"/>
  <c r="CU21" i="1"/>
  <c r="CV21" i="1"/>
  <c r="CW21" i="1"/>
  <c r="CX21" i="1"/>
  <c r="CY21" i="1"/>
  <c r="CU22" i="1"/>
  <c r="CV22" i="1"/>
  <c r="CW22" i="1"/>
  <c r="CX22" i="1"/>
  <c r="CY22" i="1"/>
  <c r="CU23" i="1"/>
  <c r="CV23" i="1"/>
  <c r="CW23" i="1"/>
  <c r="CX23" i="1"/>
  <c r="CY23" i="1"/>
  <c r="DA23" i="1"/>
  <c r="CU24" i="1"/>
  <c r="CV24" i="1"/>
  <c r="CW24" i="1"/>
  <c r="CX24" i="1"/>
  <c r="CY24" i="1"/>
  <c r="DA24" i="1"/>
  <c r="CU25" i="1"/>
  <c r="CV25" i="1"/>
  <c r="CW25" i="1"/>
  <c r="CX25" i="1"/>
  <c r="CY25" i="1"/>
  <c r="CZ25" i="1"/>
  <c r="DA25" i="1"/>
  <c r="CU26" i="1"/>
  <c r="CV26" i="1"/>
  <c r="CW26" i="1"/>
  <c r="CX26" i="1"/>
  <c r="CY26" i="1"/>
  <c r="CZ26" i="1"/>
  <c r="DA26" i="1"/>
  <c r="CU27" i="1"/>
  <c r="CV27" i="1"/>
  <c r="CW27" i="1"/>
  <c r="CX27" i="1"/>
  <c r="CY27" i="1"/>
  <c r="CZ27" i="1"/>
  <c r="DA27" i="1"/>
  <c r="CU28" i="1"/>
  <c r="CV28" i="1"/>
  <c r="CW28" i="1"/>
  <c r="CX28" i="1"/>
  <c r="CY28" i="1"/>
  <c r="CZ28" i="1"/>
  <c r="DA28" i="1"/>
  <c r="CU29" i="1"/>
  <c r="CV29" i="1"/>
  <c r="CW29" i="1"/>
  <c r="CX29" i="1"/>
  <c r="CY29" i="1"/>
  <c r="CZ29" i="1"/>
  <c r="DA29" i="1"/>
  <c r="CU30" i="1"/>
  <c r="CV30" i="1"/>
  <c r="CW30" i="1"/>
  <c r="CX30" i="1"/>
  <c r="CY30" i="1"/>
  <c r="CZ30" i="1"/>
  <c r="DA30" i="1"/>
  <c r="CU31" i="1"/>
  <c r="CV31" i="1"/>
  <c r="CW31" i="1"/>
  <c r="CX31" i="1"/>
  <c r="CY31" i="1"/>
  <c r="CZ31" i="1"/>
  <c r="DA31" i="1"/>
  <c r="CU32" i="1"/>
  <c r="CV32" i="1"/>
  <c r="CW32" i="1"/>
  <c r="CX32" i="1"/>
  <c r="CY32" i="1"/>
  <c r="CZ32" i="1"/>
  <c r="DA32" i="1"/>
  <c r="CU33" i="1"/>
  <c r="CV33" i="1"/>
  <c r="CW33" i="1"/>
  <c r="CX33" i="1"/>
  <c r="CY33" i="1"/>
  <c r="CZ33" i="1"/>
  <c r="DA33" i="1"/>
  <c r="CU34" i="1"/>
  <c r="CV34" i="1"/>
  <c r="CW34" i="1"/>
  <c r="CX34" i="1"/>
  <c r="CY34" i="1"/>
  <c r="CZ34" i="1"/>
  <c r="DA34" i="1"/>
  <c r="CU35" i="1"/>
  <c r="CV35" i="1"/>
  <c r="CW35" i="1"/>
  <c r="CX35" i="1"/>
  <c r="CY35" i="1"/>
  <c r="CZ35" i="1"/>
  <c r="DA35" i="1"/>
  <c r="DB35" i="1"/>
  <c r="CU36" i="1"/>
  <c r="CV36" i="1"/>
  <c r="CW36" i="1"/>
  <c r="CX36" i="1"/>
  <c r="CY36" i="1"/>
  <c r="CZ36" i="1"/>
  <c r="DA36" i="1"/>
  <c r="DB36" i="1"/>
  <c r="CU37" i="1"/>
  <c r="CV37" i="1"/>
  <c r="CW37" i="1"/>
  <c r="CX37" i="1"/>
  <c r="CY37" i="1"/>
  <c r="CZ37" i="1"/>
  <c r="DA37" i="1"/>
  <c r="DB37" i="1"/>
  <c r="CU38" i="1"/>
  <c r="CV38" i="1"/>
  <c r="CW38" i="1"/>
  <c r="CX38" i="1"/>
  <c r="CY38" i="1"/>
  <c r="CZ38" i="1"/>
  <c r="DA38" i="1"/>
  <c r="DB38" i="1"/>
  <c r="CU39" i="1"/>
  <c r="CV39" i="1"/>
  <c r="CW39" i="1"/>
  <c r="CX39" i="1"/>
  <c r="CY39" i="1"/>
  <c r="CZ39" i="1"/>
  <c r="DA39" i="1"/>
  <c r="DB39" i="1"/>
  <c r="CU40" i="1"/>
  <c r="CV40" i="1"/>
  <c r="CW40" i="1"/>
  <c r="CX40" i="1"/>
  <c r="CY40" i="1"/>
  <c r="CZ40" i="1"/>
  <c r="DA40" i="1"/>
  <c r="DB40" i="1"/>
  <c r="CU41" i="1"/>
  <c r="CV41" i="1"/>
  <c r="CW41" i="1"/>
  <c r="CX41" i="1"/>
  <c r="CY41" i="1"/>
  <c r="CZ41" i="1"/>
  <c r="DA41" i="1"/>
  <c r="DB41" i="1"/>
  <c r="DE41" i="1"/>
  <c r="CU42" i="1"/>
  <c r="CV42" i="1"/>
  <c r="CW42" i="1"/>
  <c r="CX42" i="1"/>
  <c r="CY42" i="1"/>
  <c r="CZ42" i="1"/>
  <c r="DA42" i="1"/>
  <c r="DB42" i="1"/>
  <c r="DE42" i="1"/>
  <c r="CU43" i="1"/>
  <c r="CV43" i="1"/>
  <c r="CW43" i="1"/>
  <c r="CX43" i="1"/>
  <c r="CY43" i="1"/>
  <c r="CZ43" i="1"/>
  <c r="DA43" i="1"/>
  <c r="DB43" i="1"/>
  <c r="DC43" i="1"/>
  <c r="DE43" i="1"/>
  <c r="CU44" i="1"/>
  <c r="CV44" i="1"/>
  <c r="CW44" i="1"/>
  <c r="CX44" i="1"/>
  <c r="CY44" i="1"/>
  <c r="CZ44" i="1"/>
  <c r="DA44" i="1"/>
  <c r="DB44" i="1"/>
  <c r="DE44" i="1"/>
  <c r="CU45" i="1"/>
  <c r="CV45" i="1"/>
  <c r="CW45" i="1"/>
  <c r="CX45" i="1"/>
  <c r="CY45" i="1"/>
  <c r="CZ45" i="1"/>
  <c r="DA45" i="1"/>
  <c r="DB45" i="1"/>
  <c r="DC45" i="1"/>
  <c r="DE45" i="1"/>
  <c r="CU46" i="1"/>
  <c r="CV46" i="1"/>
  <c r="CW46" i="1"/>
  <c r="CX46" i="1"/>
  <c r="CY46" i="1"/>
  <c r="CZ46" i="1"/>
  <c r="DA46" i="1"/>
  <c r="DB46" i="1"/>
  <c r="DC46" i="1"/>
  <c r="DE46" i="1"/>
  <c r="CU47" i="1"/>
  <c r="CV47" i="1"/>
  <c r="CW47" i="1"/>
  <c r="CX47" i="1"/>
  <c r="CY47" i="1"/>
  <c r="CZ47" i="1"/>
  <c r="DA47" i="1"/>
  <c r="DB47" i="1"/>
  <c r="DC47" i="1"/>
  <c r="DE47" i="1"/>
  <c r="CU48" i="1"/>
  <c r="CV48" i="1"/>
  <c r="CW48" i="1"/>
  <c r="CX48" i="1"/>
  <c r="CY48" i="1"/>
  <c r="CZ48" i="1"/>
  <c r="DA48" i="1"/>
  <c r="DB48" i="1"/>
  <c r="DC48" i="1"/>
  <c r="DE48" i="1"/>
  <c r="CU49" i="1"/>
  <c r="CV49" i="1"/>
  <c r="CW49" i="1"/>
  <c r="CX49" i="1"/>
  <c r="CY49" i="1"/>
  <c r="CZ49" i="1"/>
  <c r="DA49" i="1"/>
  <c r="DB49" i="1"/>
  <c r="DC49" i="1"/>
  <c r="DE49" i="1"/>
  <c r="CU50" i="1"/>
  <c r="CV50" i="1"/>
  <c r="CW50" i="1"/>
  <c r="CX50" i="1"/>
  <c r="CY50" i="1"/>
  <c r="CZ50" i="1"/>
  <c r="DA50" i="1"/>
  <c r="DB50" i="1"/>
  <c r="DC50" i="1"/>
  <c r="CU51" i="1"/>
  <c r="CV51" i="1"/>
  <c r="CW51" i="1"/>
  <c r="CX51" i="1"/>
  <c r="CY51" i="1"/>
  <c r="CZ51" i="1"/>
  <c r="DA51" i="1"/>
  <c r="DB51" i="1"/>
  <c r="DC51" i="1"/>
  <c r="DE51" i="1"/>
  <c r="CU52" i="1"/>
  <c r="CV52" i="1"/>
  <c r="CW52" i="1"/>
  <c r="CX52" i="1"/>
  <c r="CY52" i="1"/>
  <c r="CZ52" i="1"/>
  <c r="DA52" i="1"/>
  <c r="DB52" i="1"/>
  <c r="DC52" i="1"/>
  <c r="DE52" i="1"/>
  <c r="CU53" i="1"/>
  <c r="CV53" i="1"/>
  <c r="CW53" i="1"/>
  <c r="CX53" i="1"/>
  <c r="CY53" i="1"/>
  <c r="CZ53" i="1"/>
  <c r="DA53" i="1"/>
  <c r="DB53" i="1"/>
  <c r="DC53" i="1"/>
  <c r="DE53" i="1"/>
  <c r="DF53" i="1"/>
  <c r="CU54" i="1"/>
  <c r="CV54" i="1"/>
  <c r="CW54" i="1"/>
  <c r="CX54" i="1"/>
  <c r="CY54" i="1"/>
  <c r="CZ54" i="1"/>
  <c r="DA54" i="1"/>
  <c r="DB54" i="1"/>
  <c r="DC54" i="1"/>
  <c r="DE54" i="1"/>
  <c r="DF54" i="1"/>
  <c r="CU55" i="1"/>
  <c r="CV55" i="1"/>
  <c r="CW55" i="1"/>
  <c r="CX55" i="1"/>
  <c r="CY55" i="1"/>
  <c r="CZ55" i="1"/>
  <c r="DA55" i="1"/>
  <c r="DB55" i="1"/>
  <c r="DC55" i="1"/>
  <c r="DE55" i="1"/>
  <c r="DF55" i="1"/>
  <c r="CU56" i="1"/>
  <c r="CV56" i="1"/>
  <c r="CW56" i="1"/>
  <c r="CX56" i="1"/>
  <c r="CY56" i="1"/>
  <c r="CZ56" i="1"/>
  <c r="DA56" i="1"/>
  <c r="DB56" i="1"/>
  <c r="DC56" i="1"/>
  <c r="DE56" i="1"/>
  <c r="DF56" i="1"/>
  <c r="CU57" i="1"/>
  <c r="CV57" i="1"/>
  <c r="CW57" i="1"/>
  <c r="CX57" i="1"/>
  <c r="CY57" i="1"/>
  <c r="CZ57" i="1"/>
  <c r="DA57" i="1"/>
  <c r="DB57" i="1"/>
  <c r="DC57" i="1"/>
  <c r="DE57" i="1"/>
  <c r="DF57" i="1"/>
  <c r="CU58" i="1"/>
  <c r="CV58" i="1"/>
  <c r="CW58" i="1"/>
  <c r="CX58" i="1"/>
  <c r="CY58" i="1"/>
  <c r="CZ58" i="1"/>
  <c r="DA58" i="1"/>
  <c r="DB58" i="1"/>
  <c r="DC58" i="1"/>
  <c r="DE58" i="1"/>
  <c r="DF58" i="1"/>
  <c r="CU59" i="1"/>
  <c r="CV59" i="1"/>
  <c r="CW59" i="1"/>
  <c r="CX59" i="1"/>
  <c r="CY59" i="1"/>
  <c r="CZ59" i="1"/>
  <c r="DA59" i="1"/>
  <c r="DB59" i="1"/>
  <c r="DC59" i="1"/>
  <c r="DE59" i="1"/>
  <c r="DF59" i="1"/>
  <c r="DI59" i="1"/>
  <c r="CU60" i="1"/>
  <c r="CV60" i="1"/>
  <c r="CW60" i="1"/>
  <c r="CX60" i="1"/>
  <c r="CY60" i="1"/>
  <c r="CZ60" i="1"/>
  <c r="DA60" i="1"/>
  <c r="DB60" i="1"/>
  <c r="DC60" i="1"/>
  <c r="DE60" i="1"/>
  <c r="DF60" i="1"/>
  <c r="DI60" i="1"/>
  <c r="CU61" i="1"/>
  <c r="CV61" i="1"/>
  <c r="CW61" i="1"/>
  <c r="CX61" i="1"/>
  <c r="CY61" i="1"/>
  <c r="CZ61" i="1"/>
  <c r="DA61" i="1"/>
  <c r="DB61" i="1"/>
  <c r="DC61" i="1"/>
  <c r="DE61" i="1"/>
  <c r="DF61" i="1"/>
  <c r="DG61" i="1"/>
  <c r="DI61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I62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I63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I64" i="1"/>
  <c r="CU65" i="1"/>
  <c r="CV65" i="1"/>
  <c r="CW65" i="1"/>
  <c r="CX65" i="1"/>
  <c r="CY65" i="1"/>
  <c r="CZ65" i="1"/>
  <c r="DA65" i="1"/>
  <c r="DB65" i="1"/>
  <c r="DC65" i="1"/>
  <c r="DE65" i="1"/>
  <c r="DF65" i="1"/>
  <c r="DI65" i="1"/>
  <c r="CU66" i="1"/>
  <c r="CV66" i="1"/>
  <c r="CW66" i="1"/>
  <c r="CX66" i="1"/>
  <c r="CY66" i="1"/>
  <c r="CZ66" i="1"/>
  <c r="DA66" i="1"/>
  <c r="DB66" i="1"/>
  <c r="DC66" i="1"/>
  <c r="DE66" i="1"/>
  <c r="DF66" i="1"/>
  <c r="DI66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I67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I68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I69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I70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I71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I72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I73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I74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I75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I76" i="1"/>
  <c r="CU77" i="1"/>
  <c r="CV77" i="1"/>
  <c r="CW77" i="1"/>
  <c r="CX77" i="1"/>
  <c r="CY77" i="1"/>
  <c r="CZ77" i="1"/>
  <c r="DA77" i="1"/>
  <c r="DB77" i="1"/>
  <c r="DC77" i="1"/>
  <c r="DE77" i="1"/>
  <c r="DF77" i="1"/>
  <c r="DG77" i="1"/>
  <c r="DI77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I78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I79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I80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I81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I82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I83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I84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I85" i="1"/>
  <c r="DJ85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I86" i="1"/>
  <c r="DJ86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I87" i="1"/>
  <c r="DJ87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I88" i="1"/>
  <c r="DJ88" i="1"/>
  <c r="CU89" i="1"/>
  <c r="CV89" i="1"/>
  <c r="CW89" i="1"/>
  <c r="CX89" i="1"/>
  <c r="CY89" i="1"/>
  <c r="CZ89" i="1"/>
  <c r="DA89" i="1"/>
  <c r="DB89" i="1"/>
  <c r="DC89" i="1"/>
  <c r="DE89" i="1"/>
  <c r="DF89" i="1"/>
  <c r="DG89" i="1"/>
  <c r="DI89" i="1"/>
  <c r="DJ89" i="1"/>
  <c r="CU90" i="1"/>
  <c r="CV90" i="1"/>
  <c r="CW90" i="1"/>
  <c r="CX90" i="1"/>
  <c r="CY90" i="1"/>
  <c r="CZ90" i="1"/>
  <c r="DA90" i="1"/>
  <c r="DB90" i="1"/>
  <c r="DC90" i="1"/>
  <c r="DE90" i="1"/>
  <c r="DF90" i="1"/>
  <c r="DG90" i="1"/>
  <c r="DI90" i="1"/>
  <c r="DJ90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I91" i="1"/>
  <c r="DJ91" i="1"/>
  <c r="DL91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I92" i="1"/>
  <c r="DJ92" i="1"/>
  <c r="DL92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I93" i="1"/>
  <c r="DJ93" i="1"/>
  <c r="DK93" i="1"/>
  <c r="DL93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I94" i="1"/>
  <c r="DJ94" i="1"/>
  <c r="DK94" i="1"/>
  <c r="DL94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L98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L99" i="1"/>
  <c r="CU5" i="1"/>
  <c r="DD77" i="1" l="1"/>
  <c r="EC90" i="1"/>
  <c r="DD66" i="1"/>
  <c r="EC8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Ellis Mensah</author>
  </authors>
  <commentList>
    <comment ref="H4" authorId="0" shapeId="0" xr:uid="{9DD1DA05-1A9E-4FAD-B384-FC7110664D6A}">
      <text>
        <r>
          <rPr>
            <b/>
            <sz val="9"/>
            <color indexed="81"/>
            <rFont val="Tahoma"/>
            <family val="2"/>
          </rPr>
          <t>Ellis Mensah:</t>
        </r>
        <r>
          <rPr>
            <sz val="9"/>
            <color indexed="81"/>
            <rFont val="Tahoma"/>
            <family val="2"/>
          </rPr>
          <t xml:space="preserve">
its units are either g/mL or g/L (Elements 1,2,7,8 ,9,10,17,18,36,54 and 86 are g/L, all others are g/mL)</t>
        </r>
      </text>
    </comment>
  </commentList>
</comments>
</file>

<file path=xl/sharedStrings.xml><?xml version="1.0" encoding="utf-8"?>
<sst xmlns="http://schemas.openxmlformats.org/spreadsheetml/2006/main" count="399" uniqueCount="209">
  <si>
    <t>Element</t>
  </si>
  <si>
    <t>Hydrogen</t>
  </si>
  <si>
    <t>Helium</t>
  </si>
  <si>
    <t>Lithium</t>
  </si>
  <si>
    <t>Beryllium</t>
  </si>
  <si>
    <t>Boron</t>
  </si>
  <si>
    <t>Carbon</t>
  </si>
  <si>
    <t>Nitrogen</t>
  </si>
  <si>
    <t>Oxygen</t>
  </si>
  <si>
    <t>Fluorine</t>
  </si>
  <si>
    <t>Neon</t>
  </si>
  <si>
    <t>Sodium</t>
  </si>
  <si>
    <t>Magnesium</t>
  </si>
  <si>
    <t>Aluminium</t>
  </si>
  <si>
    <t>Silicon</t>
  </si>
  <si>
    <t>Phosphorus</t>
  </si>
  <si>
    <t>Sulfur</t>
  </si>
  <si>
    <t>Chlorine</t>
  </si>
  <si>
    <t>Argon</t>
  </si>
  <si>
    <t>Potassium</t>
  </si>
  <si>
    <t>Calcium</t>
  </si>
  <si>
    <t>Scandium</t>
  </si>
  <si>
    <t>Titanium</t>
  </si>
  <si>
    <t>Vanadium</t>
  </si>
  <si>
    <t>Chromium</t>
  </si>
  <si>
    <t>Manganese</t>
  </si>
  <si>
    <t>Iron</t>
  </si>
  <si>
    <t>Cobalt</t>
  </si>
  <si>
    <t>Nickel</t>
  </si>
  <si>
    <t>Copper</t>
  </si>
  <si>
    <t>Zinc</t>
  </si>
  <si>
    <t>Gallium</t>
  </si>
  <si>
    <t>Germanium</t>
  </si>
  <si>
    <t>Arsenic</t>
  </si>
  <si>
    <t>Selenium</t>
  </si>
  <si>
    <t>Bromine</t>
  </si>
  <si>
    <t>Krypton</t>
  </si>
  <si>
    <t>Rubidium</t>
  </si>
  <si>
    <t>Strontium</t>
  </si>
  <si>
    <t>Yttrium</t>
  </si>
  <si>
    <t>Zirconium</t>
  </si>
  <si>
    <t>Niobium</t>
  </si>
  <si>
    <t>Molybednum</t>
  </si>
  <si>
    <t>Technetium</t>
  </si>
  <si>
    <t>Ruthenium</t>
  </si>
  <si>
    <t>Rhodium</t>
  </si>
  <si>
    <t>Palladium</t>
  </si>
  <si>
    <t>Silver</t>
  </si>
  <si>
    <t>Cadmium</t>
  </si>
  <si>
    <t>Indium</t>
  </si>
  <si>
    <t>Tin</t>
  </si>
  <si>
    <t>Antimony</t>
  </si>
  <si>
    <t>Tellurium</t>
  </si>
  <si>
    <t>Iodine</t>
  </si>
  <si>
    <t>Xenon</t>
  </si>
  <si>
    <t>Cesium</t>
  </si>
  <si>
    <t>Barium</t>
  </si>
  <si>
    <t>Lanthanum</t>
  </si>
  <si>
    <t>Cerium</t>
  </si>
  <si>
    <t>Praseodymium</t>
  </si>
  <si>
    <t>Neodymium</t>
  </si>
  <si>
    <t>Promethium</t>
  </si>
  <si>
    <t>Samarium</t>
  </si>
  <si>
    <t>Europium</t>
  </si>
  <si>
    <t>Gandolinium</t>
  </si>
  <si>
    <t>Terbium</t>
  </si>
  <si>
    <t>Dysprosium</t>
  </si>
  <si>
    <t>Holmium</t>
  </si>
  <si>
    <t>Erbium</t>
  </si>
  <si>
    <t>Thulium</t>
  </si>
  <si>
    <t>Ytterbium</t>
  </si>
  <si>
    <t>Lutetium</t>
  </si>
  <si>
    <t>Hafnium</t>
  </si>
  <si>
    <t>Tantalum</t>
  </si>
  <si>
    <t>Tungsten</t>
  </si>
  <si>
    <t>Rhenium</t>
  </si>
  <si>
    <t>Osmium</t>
  </si>
  <si>
    <t>Iridium</t>
  </si>
  <si>
    <t>Platinum</t>
  </si>
  <si>
    <t>Gold</t>
  </si>
  <si>
    <t>Mercury</t>
  </si>
  <si>
    <t>Tallium</t>
  </si>
  <si>
    <t>Lead</t>
  </si>
  <si>
    <t>Bismuth</t>
  </si>
  <si>
    <t>Polonium</t>
  </si>
  <si>
    <t>Astatine</t>
  </si>
  <si>
    <t>Radon</t>
  </si>
  <si>
    <t>Francium</t>
  </si>
  <si>
    <t>Radium</t>
  </si>
  <si>
    <t>Actinium</t>
  </si>
  <si>
    <t>Thorium</t>
  </si>
  <si>
    <t>Protactinium</t>
  </si>
  <si>
    <t>Uranium</t>
  </si>
  <si>
    <t>Neptunium</t>
  </si>
  <si>
    <t>Plutonium</t>
  </si>
  <si>
    <t>Americium</t>
  </si>
  <si>
    <t>Curium</t>
  </si>
  <si>
    <t>Berkelium</t>
  </si>
  <si>
    <t>Californium</t>
  </si>
  <si>
    <t>Einsteinium</t>
  </si>
  <si>
    <t>Fermium</t>
  </si>
  <si>
    <t>Mendelevium</t>
  </si>
  <si>
    <t>Nobelium</t>
  </si>
  <si>
    <t xml:space="preserve"> Lawrencium</t>
  </si>
  <si>
    <t>Rutherfordium</t>
  </si>
  <si>
    <t>Dubnium</t>
  </si>
  <si>
    <t xml:space="preserve"> Seaborgium</t>
  </si>
  <si>
    <t xml:space="preserve"> Bohrium</t>
  </si>
  <si>
    <t xml:space="preserve"> Hassium</t>
  </si>
  <si>
    <t xml:space="preserve"> Meitnerium</t>
  </si>
  <si>
    <t>Darmstadtium</t>
  </si>
  <si>
    <t>Roentgenium</t>
  </si>
  <si>
    <t xml:space="preserve"> Copernicium</t>
  </si>
  <si>
    <t>Nihonium</t>
  </si>
  <si>
    <t>Flerovium</t>
  </si>
  <si>
    <t>Moscovium</t>
  </si>
  <si>
    <t xml:space="preserve"> Livermorium</t>
  </si>
  <si>
    <t>Tennessine</t>
  </si>
  <si>
    <t>Oganesson</t>
  </si>
  <si>
    <t>Quantity:</t>
  </si>
  <si>
    <t>Unit:</t>
  </si>
  <si>
    <t>Atomic Number</t>
  </si>
  <si>
    <t>Atomic Mass</t>
  </si>
  <si>
    <t>amu</t>
  </si>
  <si>
    <t>Eff. Nuclear Charge (Zeff) - Guerra</t>
  </si>
  <si>
    <t>--</t>
  </si>
  <si>
    <t>Eff. Nuclear Charge (Zeff) - Slater</t>
  </si>
  <si>
    <t>Eff. Nuclear Charge (Zeff) - RDK</t>
  </si>
  <si>
    <t>Kinetic Energy (KE) - Guerra</t>
  </si>
  <si>
    <t>Kinetic Energy (KE) - RDK Gamess</t>
  </si>
  <si>
    <t>Atomic Radius (Rp) - Guerra</t>
  </si>
  <si>
    <t>Atomic Radius (Rp) - RDK</t>
  </si>
  <si>
    <t>Atomic Radius (Rp) - Van der Waals</t>
  </si>
  <si>
    <t>Atomic Radius (Rp) - Metallic</t>
  </si>
  <si>
    <t>Atomic Radius (Rp) - Clementi</t>
  </si>
  <si>
    <t>Atomic Radius (Rp) - Slater</t>
  </si>
  <si>
    <t>Atomic Radius (Rp) - Covalent</t>
  </si>
  <si>
    <t>Atomic Radius (Rp) - Ghosh</t>
  </si>
  <si>
    <t>Pauling's Electronegativity</t>
  </si>
  <si>
    <t xml:space="preserve"> Tantardini and Oganov Electronegativity</t>
  </si>
  <si>
    <t>Density</t>
  </si>
  <si>
    <t>Melting Point</t>
  </si>
  <si>
    <t xml:space="preserve">Boiling Point </t>
  </si>
  <si>
    <t>g/mL or g/L</t>
  </si>
  <si>
    <t>K</t>
  </si>
  <si>
    <t>1s</t>
  </si>
  <si>
    <t>2s</t>
  </si>
  <si>
    <t>3s</t>
  </si>
  <si>
    <t>4s</t>
  </si>
  <si>
    <t>5s</t>
  </si>
  <si>
    <t>6s</t>
  </si>
  <si>
    <t>7s</t>
  </si>
  <si>
    <t>2p</t>
  </si>
  <si>
    <t>3p</t>
  </si>
  <si>
    <t>pm</t>
  </si>
  <si>
    <t>Atomic Radius (Rp) - R0.001/Rahm</t>
  </si>
  <si>
    <t/>
  </si>
  <si>
    <t>eV</t>
  </si>
  <si>
    <t>3d</t>
  </si>
  <si>
    <t>4p</t>
  </si>
  <si>
    <t>4d</t>
  </si>
  <si>
    <t>4f</t>
  </si>
  <si>
    <t>5p</t>
  </si>
  <si>
    <t>5d</t>
  </si>
  <si>
    <t>5f</t>
  </si>
  <si>
    <t>6p</t>
  </si>
  <si>
    <t>6d</t>
  </si>
  <si>
    <t>7p</t>
  </si>
  <si>
    <t>Total Energy- Guerra (KE * -1)</t>
  </si>
  <si>
    <t>Ionization Energy</t>
  </si>
  <si>
    <t>1st Ionization</t>
  </si>
  <si>
    <t>2nd Ionization</t>
  </si>
  <si>
    <t>3rd Ionization</t>
  </si>
  <si>
    <t>4th Ionization</t>
  </si>
  <si>
    <t>5th Ionization</t>
  </si>
  <si>
    <t>6th Ionization</t>
  </si>
  <si>
    <t>7th Ionization</t>
  </si>
  <si>
    <t>8th Ionization</t>
  </si>
  <si>
    <t>9th Ionization</t>
  </si>
  <si>
    <t>10th Ionization</t>
  </si>
  <si>
    <t>Potential Energy- Guerra Kinetic Energy *-2</t>
  </si>
  <si>
    <t>Potential Energy- RDK Gamess (KE*-2)</t>
  </si>
  <si>
    <t>Total Energy - RDK Gamess (KE *-1)</t>
  </si>
  <si>
    <t>Source: https://en.wikipedia.org/wiki/Electronegativities_of_the_elements_%28data_page%29</t>
  </si>
  <si>
    <t>https://doi.org/10.1038/s41467-021-22429-1</t>
  </si>
  <si>
    <t>https://pubchem.ncbi.nlm.nih.gov/periodic-table/density</t>
  </si>
  <si>
    <t>https://pubchem.ncbi.nlm.nih.gov/periodic-table/melting-point</t>
  </si>
  <si>
    <t>https://pubchem.ncbi.nlm.nih.gov/periodic-table/boiling-point</t>
  </si>
  <si>
    <t xml:space="preserve"> Guerra, M.; Amaro, P.; Santos, J. P.; Indelicato, P. Relativistic Calculations of Screening Parameters and Atomic Radii of Neutral Atoms. Atomic Data and Nuclear Data Tables 2017, 117–118, 439–457. https://doi.org/10.1016/j.adt.2017.01.001.</t>
  </si>
  <si>
    <t>Data Generated Using the "ScreeningConstants" excel (Which Uses Slater's Screening Constants)</t>
  </si>
  <si>
    <t>Zeff from Gamess KEs using RDK data</t>
  </si>
  <si>
    <t>Guerra, M.; Amaro, P.; Santos, J. P.; Indelicato, P. Relativistic Calculations of Screening Parameters and Atomic Radii of Neutral Atoms. Atomic Data and Nuclear Data Tables 2017, 117–118, 439–457. https://doi.org/10.1016/j.adt.2017.01.001.</t>
  </si>
  <si>
    <t>Data Obtained Using the formular: Rp = (nao/√(ti/tH))*1012 on Gamess' KEs from the sheet labelled "Gamess KEs" in this Excel</t>
  </si>
  <si>
    <t>https://doi.org/10.1002/chem.201602949</t>
  </si>
  <si>
    <t>https://doi.org/10.1039/C3DT50599E</t>
  </si>
  <si>
    <t>https://doi.org/10.1063%2F1.1725697</t>
  </si>
  <si>
    <t>https://periodictable.com/Properties/A/CovalentRadius.html</t>
  </si>
  <si>
    <t>Clementi, E.; Raimondi, D. L.; Reinhardt, W. P. Atomic Screening Constants from SCF Functions. II. Atoms with 37 to 86 Electrons. The Journal of Chemical Physics 1967, 47 (4), 1300–1307. https://doi.org/10.1063/1.1712084.</t>
  </si>
  <si>
    <t>Slater, J. C. Atomic Shielding Constants. Phys. Rev. 1930, 36 (1), 57–64. https://doi.org/10.1103/PhysRev.36.57.</t>
  </si>
  <si>
    <t xml:space="preserve"> Ghosh, D. C.; Biswas, R. Theoretical Calculation of Absolute Radii of Atoms and Ions. Part 1. The Atomic Radii. International Journal of Molecular Sciences 2002, 3 (2), 87–113. https://doi.org/10.3390/i3020087.</t>
  </si>
  <si>
    <t>Guerra KE Data (eV) Provided by Guerra directly and found in the "Guerra Test" excel</t>
  </si>
  <si>
    <t>Data Obtained from Haleighies' Tables and Gamess Run reworked to get the KEs on a per electron basis (See the Data Supersheet made for more details)</t>
  </si>
  <si>
    <t>Guerra KE Data (eV) Provided by Guerra directly and found in the "Guerra Test" excel then multiplied by -2</t>
  </si>
  <si>
    <t>Data Obtained from Haleighies' Tables and Gamess Run reworked to get the KEs on a per electron basis (See the Data Supersheet made for more details) then multiplied by -2</t>
  </si>
  <si>
    <t>Guerra KE Data (eV) Provided by Guerra directly and found in the "Guerra Test" excel then multiplied by -1</t>
  </si>
  <si>
    <t>Data Obtained from Haleighies' Tables and Gamess Run reworked to get the KEs on a per electron basis (See the Data Supersheet made for more details) then multiplied by -1</t>
  </si>
  <si>
    <t>Values Copied Directly from DVG's Inorganic Textbook (Ask DVG for the name of textbook)</t>
  </si>
  <si>
    <t>Atomic Radius (valence) - Guerra</t>
  </si>
  <si>
    <t>Atomic Radius (valence) - RDK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</si>
</sst>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FF"/>
      <name val="Arial"/>
      <family val="2"/>
    </font>
    <font>
      <b/>
      <sz val="12"/>
      <color theme="1"/>
      <name val="Aptos Display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0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9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3" fillId="0" borderId="0" xfId="0" applyNumberFormat="1" applyFont="1" applyProtection="1"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64" fontId="3" fillId="0" borderId="1" xfId="0" applyNumberFormat="1" applyFont="1" applyBorder="1" applyProtection="1">
      <protection locked="0"/>
    </xf>
    <xf numFmtId="0" fontId="8" fillId="0" borderId="0" xfId="0" applyFont="1" applyAlignment="1">
      <alignment horizontal="center" vertical="center" wrapText="1"/>
    </xf>
    <xf numFmtId="0" fontId="9" fillId="0" borderId="0" xfId="2"/>
    <xf numFmtId="0" fontId="9" fillId="0" borderId="0" xfId="2" applyAlignment="1">
      <alignment wrapText="1"/>
    </xf>
    <xf numFmtId="0" fontId="0" fillId="0" borderId="0" xfId="0" quotePrefix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0" xfId="0" applyNumberFormat="1"/>
    <xf numFmtId="2" fontId="0" fillId="0" borderId="0" xfId="0" quotePrefix="1" applyNumberFormat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vertical="center"/>
    </xf>
    <xf numFmtId="0" fontId="1" fillId="0" borderId="0" xfId="0" quotePrefix="1" applyFont="1" applyAlignment="1">
      <alignment horizontal="center" vertical="center"/>
    </xf>
    <xf numFmtId="2" fontId="1" fillId="0" borderId="0" xfId="0" quotePrefix="1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64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3" fillId="0" borderId="5" xfId="0" applyNumberFormat="1" applyFont="1" applyBorder="1" applyAlignment="1" applyProtection="1">
      <alignment horizontal="center"/>
      <protection locked="0"/>
    </xf>
    <xf numFmtId="164" fontId="3" fillId="0" borderId="6" xfId="0" applyNumberFormat="1" applyFont="1" applyBorder="1" applyAlignment="1" applyProtection="1">
      <alignment horizontal="center"/>
      <protection locked="0"/>
    </xf>
    <xf numFmtId="164" fontId="3" fillId="0" borderId="7" xfId="0" applyNumberFormat="1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811FA9B0-D560-4387-B346-0EC6E55A93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eriodictable.com/Properties/A/CovalentRadius.html" TargetMode="External"/><Relationship Id="rId3" Type="http://schemas.openxmlformats.org/officeDocument/2006/relationships/hyperlink" Target="https://pubchem.ncbi.nlm.nih.gov/periodic-table/melting-point" TargetMode="External"/><Relationship Id="rId7" Type="http://schemas.openxmlformats.org/officeDocument/2006/relationships/hyperlink" Target="https://doi.org/10.1063%2F1.1725697" TargetMode="External"/><Relationship Id="rId2" Type="http://schemas.openxmlformats.org/officeDocument/2006/relationships/hyperlink" Target="https://pubchem.ncbi.nlm.nih.gov/periodic-table/density" TargetMode="External"/><Relationship Id="rId1" Type="http://schemas.openxmlformats.org/officeDocument/2006/relationships/hyperlink" Target="https://doi.org/10.1038/s41467-021-22429-0" TargetMode="External"/><Relationship Id="rId6" Type="http://schemas.openxmlformats.org/officeDocument/2006/relationships/hyperlink" Target="https://doi.org/10.1039/C3DT50599E" TargetMode="External"/><Relationship Id="rId5" Type="http://schemas.openxmlformats.org/officeDocument/2006/relationships/hyperlink" Target="https://doi.org/10.1002/chem.201602949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pubchem.ncbi.nlm.nih.gov/periodic-table/boiling-point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2725-F586-4A16-A19D-9CE644C410EF}">
  <dimension ref="A1:HF123"/>
  <sheetViews>
    <sheetView tabSelected="1" workbookViewId="0">
      <pane xSplit="3" ySplit="4" topLeftCell="EV88" activePane="bottomRight" state="frozen"/>
      <selection pane="topRight" activeCell="D1" sqref="D1"/>
      <selection pane="bottomLeft" activeCell="A5" sqref="A5"/>
      <selection pane="bottomRight" activeCell="FC25" sqref="FC25:FC122"/>
    </sheetView>
  </sheetViews>
  <sheetFormatPr baseColWidth="10" defaultColWidth="9.1640625" defaultRowHeight="15" x14ac:dyDescent="0.2"/>
  <cols>
    <col min="1" max="1" width="9.1640625" style="3"/>
    <col min="2" max="2" width="12.83203125" style="3" customWidth="1"/>
    <col min="3" max="3" width="18" style="3" bestFit="1" customWidth="1"/>
    <col min="4" max="4" width="14.5" style="3" customWidth="1"/>
    <col min="5" max="5" width="15.1640625" style="3" bestFit="1" customWidth="1"/>
    <col min="6" max="6" width="25.1640625" style="3" customWidth="1"/>
    <col min="7" max="7" width="25.5" style="3" customWidth="1"/>
    <col min="8" max="10" width="14.6640625" style="3" customWidth="1"/>
    <col min="11" max="17" width="9" style="3" bestFit="1" customWidth="1"/>
    <col min="18" max="29" width="7.83203125" style="3" bestFit="1" customWidth="1"/>
    <col min="30" max="30" width="5.5" style="3" bestFit="1" customWidth="1"/>
    <col min="31" max="32" width="6" style="3" bestFit="1" customWidth="1"/>
    <col min="33" max="34" width="5" style="3" bestFit="1" customWidth="1"/>
    <col min="35" max="35" width="3.6640625" style="3" bestFit="1" customWidth="1"/>
    <col min="36" max="41" width="12" style="3" bestFit="1" customWidth="1"/>
    <col min="42" max="66" width="9.1640625" style="3"/>
    <col min="67" max="67" width="22.5" style="3" customWidth="1"/>
    <col min="68" max="69" width="21" style="3" customWidth="1"/>
    <col min="70" max="70" width="17.83203125" style="3" customWidth="1"/>
    <col min="71" max="71" width="17" style="3" customWidth="1"/>
    <col min="72" max="72" width="16.1640625" style="3" customWidth="1"/>
    <col min="73" max="92" width="16.33203125" style="3" customWidth="1"/>
    <col min="93" max="93" width="12" style="3" bestFit="1" customWidth="1"/>
    <col min="94" max="98" width="9.1640625" style="3"/>
    <col min="99" max="117" width="18" style="3" customWidth="1"/>
    <col min="118" max="123" width="19.5" style="3" customWidth="1"/>
    <col min="124" max="142" width="16.83203125" style="3" customWidth="1"/>
    <col min="143" max="148" width="17.83203125" style="3" customWidth="1"/>
    <col min="149" max="149" width="14.5" style="3" bestFit="1" customWidth="1"/>
    <col min="150" max="150" width="15.1640625" style="3" bestFit="1" customWidth="1"/>
    <col min="151" max="157" width="14.5" style="3" bestFit="1" customWidth="1"/>
    <col min="158" max="158" width="15.83203125" style="3" bestFit="1" customWidth="1"/>
    <col min="159" max="159" width="29" style="3" bestFit="1" customWidth="1"/>
    <col min="160" max="160" width="28.33203125" style="3" bestFit="1" customWidth="1"/>
    <col min="161" max="16384" width="9.1640625" style="3"/>
  </cols>
  <sheetData>
    <row r="1" spans="1:214" ht="28.5" customHeight="1" thickBot="1" x14ac:dyDescent="0.25">
      <c r="F1" s="21" t="s">
        <v>184</v>
      </c>
      <c r="G1" s="20" t="s">
        <v>183</v>
      </c>
      <c r="H1" s="21" t="s">
        <v>185</v>
      </c>
      <c r="I1" s="21" t="s">
        <v>186</v>
      </c>
      <c r="J1" s="22" t="s">
        <v>187</v>
      </c>
      <c r="K1" s="37" t="s">
        <v>188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 t="s">
        <v>189</v>
      </c>
      <c r="AE1" s="37"/>
      <c r="AF1" s="37"/>
      <c r="AG1" s="37"/>
      <c r="AH1" s="37"/>
      <c r="AI1" s="37"/>
      <c r="AJ1" s="38" t="s">
        <v>190</v>
      </c>
      <c r="AK1" s="39"/>
      <c r="AL1" s="39"/>
      <c r="AM1" s="39"/>
      <c r="AN1" s="39"/>
      <c r="AO1" s="40"/>
      <c r="AP1" s="41" t="s">
        <v>191</v>
      </c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7" t="s">
        <v>192</v>
      </c>
      <c r="BJ1" s="37"/>
      <c r="BK1" s="37"/>
      <c r="BL1" s="37"/>
      <c r="BM1" s="37"/>
      <c r="BN1" s="37"/>
      <c r="BO1" s="22" t="s">
        <v>193</v>
      </c>
      <c r="BP1" s="22" t="s">
        <v>194</v>
      </c>
      <c r="BQ1" s="22" t="s">
        <v>195</v>
      </c>
      <c r="BR1" s="22" t="s">
        <v>196</v>
      </c>
      <c r="BS1" s="5" t="s">
        <v>197</v>
      </c>
      <c r="BT1" s="5" t="s">
        <v>198</v>
      </c>
      <c r="BU1" s="5" t="s">
        <v>199</v>
      </c>
      <c r="BV1" s="33" t="s">
        <v>200</v>
      </c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7" t="s">
        <v>201</v>
      </c>
      <c r="CP1" s="37"/>
      <c r="CQ1" s="37"/>
      <c r="CR1" s="37"/>
      <c r="CS1" s="37"/>
      <c r="CT1" s="37"/>
      <c r="CU1" s="37" t="s">
        <v>202</v>
      </c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 t="s">
        <v>203</v>
      </c>
      <c r="DO1" s="37"/>
      <c r="DP1" s="37"/>
      <c r="DQ1" s="37"/>
      <c r="DR1" s="37"/>
      <c r="DS1" s="37"/>
      <c r="DT1" s="37" t="s">
        <v>204</v>
      </c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 t="s">
        <v>205</v>
      </c>
      <c r="EN1" s="37"/>
      <c r="EO1" s="37"/>
      <c r="EP1" s="37"/>
      <c r="EQ1" s="37"/>
      <c r="ER1" s="37"/>
      <c r="ES1" s="33" t="s">
        <v>206</v>
      </c>
      <c r="ET1" s="33"/>
      <c r="EU1" s="33"/>
      <c r="EV1" s="33"/>
      <c r="EW1" s="33"/>
      <c r="EX1" s="33"/>
      <c r="EY1" s="33"/>
      <c r="EZ1" s="33"/>
      <c r="FA1" s="33"/>
      <c r="FB1" s="33"/>
    </row>
    <row r="2" spans="1:214" ht="31.5" customHeight="1" thickBot="1" x14ac:dyDescent="0.25">
      <c r="E2" s="1"/>
      <c r="F2" s="21"/>
      <c r="G2" s="20"/>
      <c r="H2" s="1"/>
      <c r="I2" s="1"/>
      <c r="J2" s="1"/>
      <c r="K2" s="34" t="s">
        <v>124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6"/>
      <c r="AD2" s="35" t="s">
        <v>126</v>
      </c>
      <c r="AE2" s="35"/>
      <c r="AF2" s="35"/>
      <c r="AG2" s="35"/>
      <c r="AH2" s="35"/>
      <c r="AI2" s="36"/>
      <c r="AJ2" s="34" t="s">
        <v>127</v>
      </c>
      <c r="AK2" s="35"/>
      <c r="AL2" s="35"/>
      <c r="AM2" s="35"/>
      <c r="AN2" s="35"/>
      <c r="AO2" s="36"/>
      <c r="AP2" s="34" t="s">
        <v>130</v>
      </c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4" t="s">
        <v>131</v>
      </c>
      <c r="BJ2" s="35"/>
      <c r="BK2" s="35"/>
      <c r="BL2" s="35"/>
      <c r="BM2" s="35"/>
      <c r="BN2" s="36"/>
      <c r="BO2" s="1"/>
      <c r="BV2" s="34" t="s">
        <v>128</v>
      </c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4" t="s">
        <v>129</v>
      </c>
      <c r="CP2" s="35"/>
      <c r="CQ2" s="35"/>
      <c r="CR2" s="35"/>
      <c r="CS2" s="35"/>
      <c r="CT2" s="36"/>
      <c r="CU2" s="34" t="s">
        <v>180</v>
      </c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6"/>
      <c r="DN2" s="34" t="s">
        <v>181</v>
      </c>
      <c r="DO2" s="35"/>
      <c r="DP2" s="35"/>
      <c r="DQ2" s="35"/>
      <c r="DR2" s="35"/>
      <c r="DS2" s="36"/>
      <c r="DT2" s="34" t="s">
        <v>168</v>
      </c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6"/>
      <c r="EM2" s="34" t="s">
        <v>182</v>
      </c>
      <c r="EN2" s="35"/>
      <c r="EO2" s="35"/>
      <c r="EP2" s="35"/>
      <c r="EQ2" s="35"/>
      <c r="ER2" s="36"/>
      <c r="ES2" s="34" t="s">
        <v>169</v>
      </c>
      <c r="ET2" s="35"/>
      <c r="EU2" s="35"/>
      <c r="EV2" s="35"/>
      <c r="EW2" s="35"/>
      <c r="EX2" s="35"/>
      <c r="EY2" s="35"/>
      <c r="EZ2" s="35"/>
      <c r="FA2" s="35"/>
      <c r="FB2" s="36"/>
      <c r="FC2" s="1" t="s">
        <v>207</v>
      </c>
      <c r="FD2" s="1" t="s">
        <v>208</v>
      </c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</row>
    <row r="3" spans="1:214" ht="28.5" customHeight="1" thickBot="1" x14ac:dyDescent="0.25">
      <c r="A3" s="2"/>
      <c r="B3" s="2" t="s">
        <v>119</v>
      </c>
      <c r="C3" s="1" t="s">
        <v>0</v>
      </c>
      <c r="D3" s="1" t="s">
        <v>121</v>
      </c>
      <c r="E3" s="1" t="s">
        <v>122</v>
      </c>
      <c r="F3" s="1" t="s">
        <v>139</v>
      </c>
      <c r="G3" s="1" t="s">
        <v>138</v>
      </c>
      <c r="H3" s="1" t="s">
        <v>140</v>
      </c>
      <c r="I3" s="1" t="s">
        <v>141</v>
      </c>
      <c r="J3" s="1" t="s">
        <v>142</v>
      </c>
      <c r="K3" s="14" t="s">
        <v>145</v>
      </c>
      <c r="L3" s="15" t="s">
        <v>146</v>
      </c>
      <c r="M3" s="15" t="s">
        <v>152</v>
      </c>
      <c r="N3" s="15" t="s">
        <v>147</v>
      </c>
      <c r="O3" s="15" t="s">
        <v>153</v>
      </c>
      <c r="P3" s="15" t="s">
        <v>158</v>
      </c>
      <c r="Q3" s="15" t="s">
        <v>148</v>
      </c>
      <c r="R3" s="15" t="s">
        <v>159</v>
      </c>
      <c r="S3" s="15" t="s">
        <v>160</v>
      </c>
      <c r="T3" s="15" t="s">
        <v>161</v>
      </c>
      <c r="U3" s="15" t="s">
        <v>149</v>
      </c>
      <c r="V3" s="15" t="s">
        <v>162</v>
      </c>
      <c r="W3" s="15" t="s">
        <v>163</v>
      </c>
      <c r="X3" s="15" t="s">
        <v>164</v>
      </c>
      <c r="Y3" s="15" t="s">
        <v>150</v>
      </c>
      <c r="Z3" s="15" t="s">
        <v>165</v>
      </c>
      <c r="AA3" s="15" t="s">
        <v>166</v>
      </c>
      <c r="AB3" s="15" t="s">
        <v>151</v>
      </c>
      <c r="AC3" s="15" t="s">
        <v>167</v>
      </c>
      <c r="AD3" s="8" t="s">
        <v>145</v>
      </c>
      <c r="AE3" s="9" t="s">
        <v>146</v>
      </c>
      <c r="AF3" s="9" t="s">
        <v>152</v>
      </c>
      <c r="AG3" s="9" t="s">
        <v>147</v>
      </c>
      <c r="AH3" s="9" t="s">
        <v>153</v>
      </c>
      <c r="AI3" s="10" t="s">
        <v>148</v>
      </c>
      <c r="AJ3" s="11" t="s">
        <v>145</v>
      </c>
      <c r="AK3" s="12" t="s">
        <v>146</v>
      </c>
      <c r="AL3" s="12" t="s">
        <v>152</v>
      </c>
      <c r="AM3" s="12" t="s">
        <v>147</v>
      </c>
      <c r="AN3" s="12" t="s">
        <v>153</v>
      </c>
      <c r="AO3" s="13" t="s">
        <v>148</v>
      </c>
      <c r="AP3" s="19" t="s">
        <v>145</v>
      </c>
      <c r="AQ3" s="17" t="s">
        <v>146</v>
      </c>
      <c r="AR3" s="18" t="s">
        <v>152</v>
      </c>
      <c r="AS3" s="18" t="s">
        <v>147</v>
      </c>
      <c r="AT3" s="18" t="s">
        <v>153</v>
      </c>
      <c r="AU3" s="18" t="s">
        <v>158</v>
      </c>
      <c r="AV3" s="18" t="s">
        <v>148</v>
      </c>
      <c r="AW3" s="18" t="s">
        <v>159</v>
      </c>
      <c r="AX3" s="18" t="s">
        <v>160</v>
      </c>
      <c r="AY3" s="18" t="s">
        <v>161</v>
      </c>
      <c r="AZ3" s="18" t="s">
        <v>149</v>
      </c>
      <c r="BA3" s="18" t="s">
        <v>162</v>
      </c>
      <c r="BB3" s="18" t="s">
        <v>163</v>
      </c>
      <c r="BC3" s="18" t="s">
        <v>164</v>
      </c>
      <c r="BD3" s="18" t="s">
        <v>150</v>
      </c>
      <c r="BE3" s="18" t="s">
        <v>165</v>
      </c>
      <c r="BF3" s="18" t="s">
        <v>166</v>
      </c>
      <c r="BG3" s="18" t="s">
        <v>151</v>
      </c>
      <c r="BH3" s="18" t="s">
        <v>167</v>
      </c>
      <c r="BI3" s="11" t="s">
        <v>145</v>
      </c>
      <c r="BJ3" s="12" t="s">
        <v>146</v>
      </c>
      <c r="BK3" s="12" t="s">
        <v>152</v>
      </c>
      <c r="BL3" s="12" t="s">
        <v>147</v>
      </c>
      <c r="BM3" s="12" t="s">
        <v>153</v>
      </c>
      <c r="BN3" s="13" t="s">
        <v>148</v>
      </c>
      <c r="BO3" s="1" t="s">
        <v>155</v>
      </c>
      <c r="BP3" s="1" t="s">
        <v>132</v>
      </c>
      <c r="BQ3" s="1" t="s">
        <v>133</v>
      </c>
      <c r="BR3" s="1" t="s">
        <v>136</v>
      </c>
      <c r="BS3" s="1" t="s">
        <v>134</v>
      </c>
      <c r="BT3" s="1" t="s">
        <v>135</v>
      </c>
      <c r="BU3" s="1" t="s">
        <v>137</v>
      </c>
      <c r="BV3" s="11" t="s">
        <v>145</v>
      </c>
      <c r="BW3" s="12" t="s">
        <v>146</v>
      </c>
      <c r="BX3" s="12" t="s">
        <v>152</v>
      </c>
      <c r="BY3" s="12" t="s">
        <v>147</v>
      </c>
      <c r="BZ3" s="12" t="s">
        <v>153</v>
      </c>
      <c r="CA3" s="12" t="s">
        <v>158</v>
      </c>
      <c r="CB3" s="12" t="s">
        <v>148</v>
      </c>
      <c r="CC3" s="12" t="s">
        <v>159</v>
      </c>
      <c r="CD3" s="12" t="s">
        <v>160</v>
      </c>
      <c r="CE3" s="12" t="s">
        <v>161</v>
      </c>
      <c r="CF3" s="12" t="s">
        <v>149</v>
      </c>
      <c r="CG3" s="12" t="s">
        <v>162</v>
      </c>
      <c r="CH3" s="12" t="s">
        <v>163</v>
      </c>
      <c r="CI3" s="12" t="s">
        <v>164</v>
      </c>
      <c r="CJ3" s="12" t="s">
        <v>150</v>
      </c>
      <c r="CK3" s="12" t="s">
        <v>165</v>
      </c>
      <c r="CL3" s="12" t="s">
        <v>166</v>
      </c>
      <c r="CM3" s="12" t="s">
        <v>151</v>
      </c>
      <c r="CN3" s="12" t="s">
        <v>167</v>
      </c>
      <c r="CO3" s="11" t="s">
        <v>145</v>
      </c>
      <c r="CP3" s="12" t="s">
        <v>146</v>
      </c>
      <c r="CQ3" s="12" t="s">
        <v>152</v>
      </c>
      <c r="CR3" s="12" t="s">
        <v>147</v>
      </c>
      <c r="CS3" s="12" t="s">
        <v>153</v>
      </c>
      <c r="CT3" s="13" t="s">
        <v>148</v>
      </c>
      <c r="CU3" s="8" t="s">
        <v>145</v>
      </c>
      <c r="CV3" s="9" t="s">
        <v>146</v>
      </c>
      <c r="CW3" s="9" t="s">
        <v>152</v>
      </c>
      <c r="CX3" s="9" t="s">
        <v>147</v>
      </c>
      <c r="CY3" s="9" t="s">
        <v>153</v>
      </c>
      <c r="CZ3" s="9" t="s">
        <v>158</v>
      </c>
      <c r="DA3" s="9" t="s">
        <v>148</v>
      </c>
      <c r="DB3" s="9" t="s">
        <v>159</v>
      </c>
      <c r="DC3" s="9" t="s">
        <v>160</v>
      </c>
      <c r="DD3" s="9" t="s">
        <v>161</v>
      </c>
      <c r="DE3" s="9" t="s">
        <v>149</v>
      </c>
      <c r="DF3" s="9" t="s">
        <v>162</v>
      </c>
      <c r="DG3" s="9" t="s">
        <v>163</v>
      </c>
      <c r="DH3" s="9" t="s">
        <v>164</v>
      </c>
      <c r="DI3" s="9" t="s">
        <v>150</v>
      </c>
      <c r="DJ3" s="9" t="s">
        <v>165</v>
      </c>
      <c r="DK3" s="9" t="s">
        <v>166</v>
      </c>
      <c r="DL3" s="9" t="s">
        <v>151</v>
      </c>
      <c r="DM3" s="10" t="s">
        <v>167</v>
      </c>
      <c r="DN3" s="1" t="s">
        <v>145</v>
      </c>
      <c r="DO3" s="1" t="s">
        <v>146</v>
      </c>
      <c r="DP3" s="1" t="s">
        <v>152</v>
      </c>
      <c r="DQ3" s="1" t="s">
        <v>147</v>
      </c>
      <c r="DR3" s="1" t="s">
        <v>153</v>
      </c>
      <c r="DS3" s="1" t="s">
        <v>148</v>
      </c>
      <c r="DT3" s="8" t="s">
        <v>145</v>
      </c>
      <c r="DU3" s="9" t="s">
        <v>146</v>
      </c>
      <c r="DV3" s="9" t="s">
        <v>152</v>
      </c>
      <c r="DW3" s="9" t="s">
        <v>147</v>
      </c>
      <c r="DX3" s="9" t="s">
        <v>153</v>
      </c>
      <c r="DY3" s="9" t="s">
        <v>158</v>
      </c>
      <c r="DZ3" s="9" t="s">
        <v>148</v>
      </c>
      <c r="EA3" s="9" t="s">
        <v>159</v>
      </c>
      <c r="EB3" s="9" t="s">
        <v>160</v>
      </c>
      <c r="EC3" s="9" t="s">
        <v>161</v>
      </c>
      <c r="ED3" s="9" t="s">
        <v>149</v>
      </c>
      <c r="EE3" s="9" t="s">
        <v>162</v>
      </c>
      <c r="EF3" s="9" t="s">
        <v>163</v>
      </c>
      <c r="EG3" s="9" t="s">
        <v>164</v>
      </c>
      <c r="EH3" s="9" t="s">
        <v>150</v>
      </c>
      <c r="EI3" s="9" t="s">
        <v>165</v>
      </c>
      <c r="EJ3" s="9" t="s">
        <v>166</v>
      </c>
      <c r="EK3" s="9" t="s">
        <v>151</v>
      </c>
      <c r="EL3" s="10" t="s">
        <v>167</v>
      </c>
      <c r="EM3" s="1" t="s">
        <v>145</v>
      </c>
      <c r="EN3" s="1" t="s">
        <v>146</v>
      </c>
      <c r="EO3" s="1" t="s">
        <v>152</v>
      </c>
      <c r="EP3" s="1" t="s">
        <v>147</v>
      </c>
      <c r="EQ3" s="1" t="s">
        <v>153</v>
      </c>
      <c r="ER3" s="1" t="s">
        <v>148</v>
      </c>
      <c r="ES3" s="11" t="s">
        <v>170</v>
      </c>
      <c r="ET3" s="12" t="s">
        <v>171</v>
      </c>
      <c r="EU3" s="12" t="s">
        <v>172</v>
      </c>
      <c r="EV3" s="12" t="s">
        <v>173</v>
      </c>
      <c r="EW3" s="12" t="s">
        <v>174</v>
      </c>
      <c r="EX3" s="12" t="s">
        <v>175</v>
      </c>
      <c r="EY3" s="12" t="s">
        <v>176</v>
      </c>
      <c r="EZ3" s="12" t="s">
        <v>177</v>
      </c>
      <c r="FA3" s="12" t="s">
        <v>178</v>
      </c>
      <c r="FB3" s="13" t="s">
        <v>179</v>
      </c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</row>
    <row r="4" spans="1:214" ht="17" thickBot="1" x14ac:dyDescent="0.25">
      <c r="B4" s="2" t="s">
        <v>120</v>
      </c>
      <c r="C4" s="4" t="s">
        <v>125</v>
      </c>
      <c r="D4" s="4" t="s">
        <v>125</v>
      </c>
      <c r="E4" s="2" t="s">
        <v>123</v>
      </c>
      <c r="F4" s="4" t="s">
        <v>125</v>
      </c>
      <c r="G4" s="4" t="s">
        <v>125</v>
      </c>
      <c r="H4" s="2" t="s">
        <v>143</v>
      </c>
      <c r="I4" s="2" t="s">
        <v>144</v>
      </c>
      <c r="J4" s="2" t="s">
        <v>144</v>
      </c>
      <c r="K4" s="4" t="s">
        <v>125</v>
      </c>
      <c r="L4" s="4" t="s">
        <v>125</v>
      </c>
      <c r="M4" s="4" t="s">
        <v>125</v>
      </c>
      <c r="N4" s="4" t="s">
        <v>125</v>
      </c>
      <c r="O4" s="4" t="s">
        <v>125</v>
      </c>
      <c r="P4" s="4" t="s">
        <v>125</v>
      </c>
      <c r="Q4" s="4" t="s">
        <v>125</v>
      </c>
      <c r="R4" s="4" t="s">
        <v>125</v>
      </c>
      <c r="S4" s="4" t="s">
        <v>125</v>
      </c>
      <c r="T4" s="4" t="s">
        <v>125</v>
      </c>
      <c r="U4" s="4" t="s">
        <v>125</v>
      </c>
      <c r="V4" s="4" t="s">
        <v>125</v>
      </c>
      <c r="W4" s="4" t="s">
        <v>125</v>
      </c>
      <c r="X4" s="4" t="s">
        <v>125</v>
      </c>
      <c r="Y4" s="4" t="s">
        <v>125</v>
      </c>
      <c r="Z4" s="4" t="s">
        <v>125</v>
      </c>
      <c r="AA4" s="4" t="s">
        <v>125</v>
      </c>
      <c r="AB4" s="4" t="s">
        <v>125</v>
      </c>
      <c r="AC4" s="4" t="s">
        <v>125</v>
      </c>
      <c r="AD4" s="4" t="s">
        <v>125</v>
      </c>
      <c r="AE4" s="4" t="s">
        <v>125</v>
      </c>
      <c r="AF4" s="4" t="s">
        <v>125</v>
      </c>
      <c r="AG4" s="4" t="s">
        <v>125</v>
      </c>
      <c r="AH4" s="4" t="s">
        <v>125</v>
      </c>
      <c r="AI4" s="4" t="s">
        <v>125</v>
      </c>
      <c r="AJ4" s="4" t="s">
        <v>125</v>
      </c>
      <c r="AK4" s="4" t="s">
        <v>125</v>
      </c>
      <c r="AL4" s="4" t="s">
        <v>125</v>
      </c>
      <c r="AM4" s="4" t="s">
        <v>125</v>
      </c>
      <c r="AN4" s="4" t="s">
        <v>125</v>
      </c>
      <c r="AO4" s="4" t="s">
        <v>125</v>
      </c>
      <c r="AP4" s="42" t="s">
        <v>154</v>
      </c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4"/>
      <c r="BI4" s="34" t="s">
        <v>154</v>
      </c>
      <c r="BJ4" s="35"/>
      <c r="BK4" s="35"/>
      <c r="BL4" s="35"/>
      <c r="BM4" s="35"/>
      <c r="BN4" s="36"/>
      <c r="BO4" s="1" t="s">
        <v>154</v>
      </c>
      <c r="BP4" s="1" t="s">
        <v>154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34" t="s">
        <v>157</v>
      </c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6"/>
      <c r="CO4" s="45" t="s">
        <v>157</v>
      </c>
      <c r="CP4" s="46"/>
      <c r="CQ4" s="46"/>
      <c r="CR4" s="46"/>
      <c r="CS4" s="46"/>
      <c r="CT4" s="47"/>
      <c r="CU4" s="45" t="s">
        <v>157</v>
      </c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7"/>
      <c r="DN4" s="45" t="s">
        <v>157</v>
      </c>
      <c r="DO4" s="46"/>
      <c r="DP4" s="46"/>
      <c r="DQ4" s="46"/>
      <c r="DR4" s="46"/>
      <c r="DS4" s="47"/>
      <c r="DT4" s="34" t="s">
        <v>157</v>
      </c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6"/>
      <c r="EM4" s="34" t="s">
        <v>157</v>
      </c>
      <c r="EN4" s="35"/>
      <c r="EO4" s="35"/>
      <c r="EP4" s="35"/>
      <c r="EQ4" s="35"/>
      <c r="ER4" s="36"/>
      <c r="ES4" s="34" t="s">
        <v>157</v>
      </c>
      <c r="ET4" s="35"/>
      <c r="EU4" s="35"/>
      <c r="EV4" s="35"/>
      <c r="EW4" s="35"/>
      <c r="EX4" s="35"/>
      <c r="EY4" s="35"/>
      <c r="EZ4" s="35"/>
      <c r="FA4" s="35"/>
      <c r="FB4" s="36"/>
      <c r="FC4" s="1" t="s">
        <v>154</v>
      </c>
      <c r="FD4" s="1" t="s">
        <v>154</v>
      </c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6"/>
      <c r="HB4" s="6"/>
      <c r="HC4" s="6"/>
      <c r="HD4" s="6"/>
      <c r="HE4" s="6"/>
      <c r="HF4" s="6"/>
    </row>
    <row r="5" spans="1:214" ht="16" x14ac:dyDescent="0.2">
      <c r="C5" s="7" t="s">
        <v>1</v>
      </c>
      <c r="D5" s="3">
        <v>1</v>
      </c>
      <c r="E5" s="3">
        <v>1.0079800000000001</v>
      </c>
      <c r="F5" s="3">
        <v>3.04</v>
      </c>
      <c r="G5" s="3">
        <v>2.2000000000000002</v>
      </c>
      <c r="H5" s="3">
        <v>8.9880000000000002E-2</v>
      </c>
      <c r="I5" s="3">
        <v>13.81</v>
      </c>
      <c r="J5" s="3">
        <v>20.28</v>
      </c>
      <c r="K5" s="23">
        <v>1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3">
        <v>1</v>
      </c>
      <c r="AE5" s="23"/>
      <c r="AF5" s="23"/>
      <c r="AG5" s="23"/>
      <c r="AH5" s="23"/>
      <c r="AI5" s="23"/>
      <c r="AJ5" s="23">
        <v>1</v>
      </c>
      <c r="AK5" s="29"/>
      <c r="AL5" s="29"/>
      <c r="AM5" s="29"/>
      <c r="AN5" s="29"/>
      <c r="AO5" s="29"/>
      <c r="AP5" s="24">
        <v>52.9</v>
      </c>
      <c r="AQ5" s="24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6">
        <v>52.9</v>
      </c>
      <c r="BJ5" s="30"/>
      <c r="BK5" s="30"/>
      <c r="BL5" s="30"/>
      <c r="BM5" s="30"/>
      <c r="BN5" s="30"/>
      <c r="BO5" s="3">
        <v>154</v>
      </c>
      <c r="BP5" s="3">
        <v>120</v>
      </c>
      <c r="BR5" s="3">
        <v>31</v>
      </c>
      <c r="BT5" s="3">
        <v>53</v>
      </c>
      <c r="BU5" s="3">
        <v>52.92</v>
      </c>
      <c r="BV5" s="5">
        <v>13.59124622</v>
      </c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">
        <v>13.605646832543298</v>
      </c>
      <c r="CU5" s="3">
        <f>-2*BV5</f>
        <v>-27.182492440000001</v>
      </c>
      <c r="DN5" s="3">
        <f>-2*CO5</f>
        <v>-27.211293665086597</v>
      </c>
      <c r="DT5" s="3">
        <f>-1*BV5</f>
        <v>-13.59124622</v>
      </c>
      <c r="EM5" s="27">
        <f>-1*CO5</f>
        <v>-13.605646832543298</v>
      </c>
      <c r="EN5" s="27"/>
      <c r="EO5" s="27"/>
      <c r="EP5" s="27"/>
      <c r="EQ5" s="27"/>
      <c r="ER5" s="27"/>
      <c r="ES5" s="3">
        <v>13.597568000000001</v>
      </c>
      <c r="FC5" s="32">
        <v>52.9</v>
      </c>
      <c r="FD5" s="16">
        <v>52.9</v>
      </c>
    </row>
    <row r="6" spans="1:214" ht="16" x14ac:dyDescent="0.2">
      <c r="C6" s="7" t="s">
        <v>2</v>
      </c>
      <c r="D6" s="3">
        <v>2</v>
      </c>
      <c r="E6" s="3">
        <v>4.0026020000000004</v>
      </c>
      <c r="F6" s="3">
        <v>4.42</v>
      </c>
      <c r="H6" s="3">
        <v>0.17849999999999999</v>
      </c>
      <c r="I6" s="3">
        <v>0.95</v>
      </c>
      <c r="J6" s="3">
        <v>4.22</v>
      </c>
      <c r="K6" s="28">
        <v>1.6180000000000001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 s="3">
        <v>1.7</v>
      </c>
      <c r="AE6" s="23"/>
      <c r="AF6" s="23"/>
      <c r="AG6" s="23"/>
      <c r="AH6" s="23"/>
      <c r="AI6" s="23"/>
      <c r="AJ6" s="3">
        <v>1.6916476639719158</v>
      </c>
      <c r="AP6" s="24">
        <v>30.152999999999995</v>
      </c>
      <c r="AQ6" s="24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16">
        <v>31.271287234714752</v>
      </c>
      <c r="BJ6" s="16"/>
      <c r="BK6" s="16"/>
      <c r="BL6" s="16"/>
      <c r="BM6" s="16"/>
      <c r="BN6" s="16"/>
      <c r="BO6" s="3">
        <v>134</v>
      </c>
      <c r="BP6" s="3">
        <v>143</v>
      </c>
      <c r="BR6" s="3">
        <v>28</v>
      </c>
      <c r="BS6" s="3">
        <v>31</v>
      </c>
      <c r="BU6" s="3">
        <v>31.130000000000003</v>
      </c>
      <c r="BV6" s="3">
        <v>38.926358090000001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3">
        <v>38.934896120250194</v>
      </c>
      <c r="CU6" s="3">
        <f t="shared" ref="CU6:CU69" si="0">-2*BV6</f>
        <v>-77.852716180000002</v>
      </c>
      <c r="DN6" s="3">
        <f t="shared" ref="DN6:DN24" si="1">-2*CO6</f>
        <v>-77.869792240500388</v>
      </c>
      <c r="DT6" s="3">
        <f t="shared" ref="DT6:DT69" si="2">-1*BV6</f>
        <v>-38.926358090000001</v>
      </c>
      <c r="EM6" s="27">
        <f t="shared" ref="EM6:EM24" si="3">-1*CO6</f>
        <v>-38.934896120250194</v>
      </c>
      <c r="EN6" s="27"/>
      <c r="EO6" s="27"/>
      <c r="EP6" s="27"/>
      <c r="EQ6" s="27"/>
      <c r="ER6" s="27"/>
      <c r="ES6" s="3">
        <v>24.586517200000003</v>
      </c>
      <c r="ET6" s="3">
        <v>54.415145600000002</v>
      </c>
      <c r="FC6" s="32">
        <v>30.152999999999995</v>
      </c>
      <c r="FD6" s="16">
        <v>31.271287234714752</v>
      </c>
    </row>
    <row r="7" spans="1:214" ht="16" x14ac:dyDescent="0.2">
      <c r="C7" s="7" t="s">
        <v>3</v>
      </c>
      <c r="D7" s="3">
        <v>3</v>
      </c>
      <c r="E7" s="3">
        <v>6.9669999999999996</v>
      </c>
      <c r="F7" s="3">
        <v>2.17</v>
      </c>
      <c r="G7" s="3">
        <v>0.98</v>
      </c>
      <c r="H7" s="3">
        <v>0.53400000000000003</v>
      </c>
      <c r="I7" s="3">
        <v>453.65</v>
      </c>
      <c r="J7" s="3">
        <v>1615</v>
      </c>
      <c r="K7" s="28">
        <v>2.617</v>
      </c>
      <c r="L7">
        <v>1.55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 s="3">
        <v>2.7</v>
      </c>
      <c r="AE7" s="3">
        <v>1.3</v>
      </c>
      <c r="AF7" s="23"/>
      <c r="AG7" s="23"/>
      <c r="AH7" s="23"/>
      <c r="AI7" s="23"/>
      <c r="AJ7" s="3">
        <v>2.6877506098620891</v>
      </c>
      <c r="AK7" s="3">
        <v>1.2921129254575279</v>
      </c>
      <c r="AP7" s="24">
        <v>19.255599999999998</v>
      </c>
      <c r="AQ7" s="24">
        <v>164.0429</v>
      </c>
      <c r="AR7" s="24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16">
        <v>19.681885590834018</v>
      </c>
      <c r="BJ7" s="16">
        <v>163.76277632628276</v>
      </c>
      <c r="BK7" s="16"/>
      <c r="BL7" s="16"/>
      <c r="BM7" s="16"/>
      <c r="BN7" s="16"/>
      <c r="BO7" s="3">
        <v>220.00000000000003</v>
      </c>
      <c r="BP7" s="3">
        <v>212</v>
      </c>
      <c r="BQ7" s="3">
        <v>152</v>
      </c>
      <c r="BR7" s="3">
        <v>128</v>
      </c>
      <c r="BS7" s="3">
        <v>167</v>
      </c>
      <c r="BT7" s="3">
        <v>163</v>
      </c>
      <c r="BU7" s="3">
        <v>162.82000000000002</v>
      </c>
      <c r="BV7" s="3">
        <v>98.285257240000007</v>
      </c>
      <c r="BW7" s="3">
        <v>5.6822292040000004</v>
      </c>
      <c r="CO7" s="3">
        <v>98.287238172228626</v>
      </c>
      <c r="CP7" s="3">
        <v>5.6788466867802008</v>
      </c>
      <c r="CU7" s="3">
        <f t="shared" si="0"/>
        <v>-196.57051448000001</v>
      </c>
      <c r="CV7" s="3">
        <f t="shared" ref="CV7:CV69" si="4">-2*BW7</f>
        <v>-11.364458408000001</v>
      </c>
      <c r="DN7" s="3">
        <f t="shared" si="1"/>
        <v>-196.57447634445725</v>
      </c>
      <c r="DO7" s="3">
        <f t="shared" ref="DO7:DO24" si="5">-2*CP7</f>
        <v>-11.357693373560402</v>
      </c>
      <c r="DT7" s="3">
        <f t="shared" si="2"/>
        <v>-98.285257240000007</v>
      </c>
      <c r="DU7" s="3">
        <f t="shared" ref="DU7:DU38" si="6">-1*BW7</f>
        <v>-5.6822292040000004</v>
      </c>
      <c r="EM7" s="27">
        <f t="shared" si="3"/>
        <v>-98.287238172228626</v>
      </c>
      <c r="EN7" s="27">
        <f t="shared" ref="EN7:EN24" si="7">-1*CP7</f>
        <v>-5.6788466867802008</v>
      </c>
      <c r="EO7" s="27"/>
      <c r="EP7" s="27"/>
      <c r="EQ7" s="27"/>
      <c r="ER7" s="27"/>
      <c r="ES7" s="3">
        <v>5.3923892000000002</v>
      </c>
      <c r="ET7" s="3">
        <v>75.637508400000002</v>
      </c>
      <c r="EU7" s="3">
        <v>122.44962360000001</v>
      </c>
      <c r="FC7" s="32">
        <v>164.0429</v>
      </c>
      <c r="FD7" s="16">
        <v>163.76277632628276</v>
      </c>
    </row>
    <row r="8" spans="1:214" ht="16" x14ac:dyDescent="0.2">
      <c r="C8" s="7" t="s">
        <v>4</v>
      </c>
      <c r="D8" s="3">
        <v>4</v>
      </c>
      <c r="E8" s="3">
        <v>9.0121830999999997</v>
      </c>
      <c r="F8" s="3">
        <v>2.42</v>
      </c>
      <c r="G8" s="3">
        <v>1.57</v>
      </c>
      <c r="H8" s="3">
        <v>1.85</v>
      </c>
      <c r="I8" s="3">
        <v>1560</v>
      </c>
      <c r="J8" s="3">
        <v>2744</v>
      </c>
      <c r="K8" s="28">
        <v>3.6139999999999999</v>
      </c>
      <c r="L8" s="28">
        <v>2.266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 s="3">
        <v>3.7</v>
      </c>
      <c r="AE8" s="3">
        <v>1.95</v>
      </c>
      <c r="AF8" s="23"/>
      <c r="AG8" s="23"/>
      <c r="AH8" s="23"/>
      <c r="AI8" s="23"/>
      <c r="AJ8" s="3">
        <v>3.6836330151684762</v>
      </c>
      <c r="AK8" s="3">
        <v>2.0020313769130751</v>
      </c>
      <c r="AP8" s="24">
        <v>14.1243</v>
      </c>
      <c r="AQ8" s="24">
        <v>108.4979</v>
      </c>
      <c r="AR8" s="24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16">
        <v>14.360822530954685</v>
      </c>
      <c r="BJ8" s="16">
        <v>105.69264919627048</v>
      </c>
      <c r="BK8" s="16"/>
      <c r="BL8" s="16"/>
      <c r="BM8" s="16"/>
      <c r="BN8" s="16"/>
      <c r="BO8" s="3">
        <v>219</v>
      </c>
      <c r="BP8" s="3">
        <v>198</v>
      </c>
      <c r="BQ8" s="3">
        <v>112</v>
      </c>
      <c r="BR8" s="3">
        <v>96</v>
      </c>
      <c r="BS8" s="3">
        <v>112.00000000000001</v>
      </c>
      <c r="BT8" s="3">
        <v>109.00000000000001</v>
      </c>
      <c r="BU8" s="3">
        <v>108.55</v>
      </c>
      <c r="BV8" s="3">
        <v>184.67144709999999</v>
      </c>
      <c r="BW8" s="3">
        <v>13.639418259999999</v>
      </c>
      <c r="CO8" s="3">
        <v>184.61709252014705</v>
      </c>
      <c r="CP8" s="3">
        <v>13.633299065305136</v>
      </c>
      <c r="CU8" s="3">
        <f t="shared" si="0"/>
        <v>-369.34289419999999</v>
      </c>
      <c r="CV8" s="3">
        <f t="shared" si="4"/>
        <v>-27.278836519999999</v>
      </c>
      <c r="DN8" s="3">
        <f t="shared" si="1"/>
        <v>-369.23418504029411</v>
      </c>
      <c r="DO8" s="3">
        <f t="shared" si="5"/>
        <v>-27.266598130610273</v>
      </c>
      <c r="DT8" s="3">
        <f t="shared" si="2"/>
        <v>-184.67144709999999</v>
      </c>
      <c r="DU8" s="3">
        <f t="shared" si="6"/>
        <v>-13.639418259999999</v>
      </c>
      <c r="EM8" s="27">
        <f t="shared" si="3"/>
        <v>-184.61709252014705</v>
      </c>
      <c r="EN8" s="27">
        <f t="shared" si="7"/>
        <v>-13.633299065305136</v>
      </c>
      <c r="EO8" s="27"/>
      <c r="EP8" s="27"/>
      <c r="EQ8" s="27"/>
      <c r="ER8" s="27"/>
      <c r="ES8" s="3">
        <v>9.3224180000000008</v>
      </c>
      <c r="ET8" s="3">
        <v>18.210584400000002</v>
      </c>
      <c r="EU8" s="3">
        <v>153.89192679999999</v>
      </c>
      <c r="EV8" s="3">
        <v>217.711366</v>
      </c>
      <c r="FC8" s="32">
        <v>108.4979</v>
      </c>
      <c r="FD8" s="16">
        <v>105.69264919627048</v>
      </c>
    </row>
    <row r="9" spans="1:214" ht="16" x14ac:dyDescent="0.2">
      <c r="C9" s="7" t="s">
        <v>5</v>
      </c>
      <c r="D9" s="3">
        <v>5</v>
      </c>
      <c r="E9" s="3">
        <v>10.813499999999999</v>
      </c>
      <c r="F9" s="3">
        <v>3.04</v>
      </c>
      <c r="G9" s="3">
        <v>2.04</v>
      </c>
      <c r="H9" s="3">
        <v>2.37</v>
      </c>
      <c r="I9" s="3">
        <v>2348</v>
      </c>
      <c r="J9" s="3">
        <v>4273</v>
      </c>
      <c r="K9" s="28">
        <v>4.6029999999999998</v>
      </c>
      <c r="L9" s="28">
        <v>3.036</v>
      </c>
      <c r="M9">
        <v>2.2679999999999998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 s="3">
        <v>4.7</v>
      </c>
      <c r="AE9" s="3">
        <v>2.6</v>
      </c>
      <c r="AF9" s="3">
        <v>2.6</v>
      </c>
      <c r="AG9" s="23"/>
      <c r="AH9" s="23"/>
      <c r="AI9" s="23"/>
      <c r="AJ9" s="3">
        <v>4.6760554781865356</v>
      </c>
      <c r="AK9" s="3">
        <v>2.7697910790019904</v>
      </c>
      <c r="AL9" s="3">
        <v>2.4424943513282393</v>
      </c>
      <c r="AP9" s="24">
        <v>11.161899999999999</v>
      </c>
      <c r="AQ9" s="24">
        <v>80.672499999999999</v>
      </c>
      <c r="AR9" s="24">
        <v>83.952299999999994</v>
      </c>
      <c r="AS9" s="24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16">
        <v>11.312953887475185</v>
      </c>
      <c r="BJ9" s="16">
        <v>76.395653666500934</v>
      </c>
      <c r="BK9" s="16">
        <v>86.632748970302018</v>
      </c>
      <c r="BL9" s="16"/>
      <c r="BM9" s="16"/>
      <c r="BN9" s="16"/>
      <c r="BO9" s="3">
        <v>204.99999999999997</v>
      </c>
      <c r="BP9" s="3">
        <v>191</v>
      </c>
      <c r="BQ9" s="3" t="s">
        <v>156</v>
      </c>
      <c r="BR9" s="3">
        <v>85</v>
      </c>
      <c r="BS9" s="3">
        <v>87</v>
      </c>
      <c r="BT9" s="3">
        <v>82</v>
      </c>
      <c r="BU9" s="3">
        <v>81.410000000000011</v>
      </c>
      <c r="BV9" s="3">
        <v>297.61232030000002</v>
      </c>
      <c r="BW9" s="3">
        <v>26.10881097</v>
      </c>
      <c r="BX9" s="3">
        <v>20.290198310000001</v>
      </c>
      <c r="CO9" s="3">
        <v>297.49420054487501</v>
      </c>
      <c r="CP9" s="3">
        <v>26.094755173959101</v>
      </c>
      <c r="CQ9" s="3">
        <v>20.292069369584798</v>
      </c>
      <c r="CU9" s="3">
        <f t="shared" si="0"/>
        <v>-595.22464060000004</v>
      </c>
      <c r="CV9" s="3">
        <f t="shared" si="4"/>
        <v>-52.217621940000001</v>
      </c>
      <c r="CW9" s="3">
        <f t="shared" ref="CW9:CW69" si="8">-2*BX9</f>
        <v>-40.580396620000002</v>
      </c>
      <c r="DN9" s="3">
        <f t="shared" si="1"/>
        <v>-594.98840108975003</v>
      </c>
      <c r="DO9" s="3">
        <f t="shared" si="5"/>
        <v>-52.189510347918201</v>
      </c>
      <c r="DP9" s="3">
        <f t="shared" ref="DP9:DP24" si="9">-2*CQ9</f>
        <v>-40.584138739169596</v>
      </c>
      <c r="DT9" s="3">
        <f t="shared" si="2"/>
        <v>-297.61232030000002</v>
      </c>
      <c r="DU9" s="3">
        <f t="shared" si="6"/>
        <v>-26.10881097</v>
      </c>
      <c r="DV9" s="3">
        <f t="shared" ref="DV9:DV40" si="10">-1*BX9</f>
        <v>-20.290198310000001</v>
      </c>
      <c r="EM9" s="27">
        <f t="shared" si="3"/>
        <v>-297.49420054487501</v>
      </c>
      <c r="EN9" s="27">
        <f t="shared" si="7"/>
        <v>-26.094755173959101</v>
      </c>
      <c r="EO9" s="27">
        <f t="shared" ref="EO9:EO24" si="11">-1*CQ9</f>
        <v>-20.292069369584798</v>
      </c>
      <c r="EP9" s="27"/>
      <c r="EQ9" s="27"/>
      <c r="ER9" s="27"/>
      <c r="ES9" s="3">
        <v>8.2974183999999997</v>
      </c>
      <c r="ET9" s="3">
        <v>25.153428000000002</v>
      </c>
      <c r="EU9" s="3">
        <v>37.930167200000007</v>
      </c>
      <c r="EV9" s="3">
        <v>259.36635480000001</v>
      </c>
      <c r="EW9" s="3">
        <v>340.21488240000002</v>
      </c>
      <c r="FC9" s="32">
        <v>83.952299999999994</v>
      </c>
      <c r="FD9" s="16">
        <v>86.632748970302018</v>
      </c>
    </row>
    <row r="10" spans="1:214" ht="16" x14ac:dyDescent="0.2">
      <c r="C10" s="7" t="s">
        <v>6</v>
      </c>
      <c r="D10" s="3">
        <v>6</v>
      </c>
      <c r="E10" s="3">
        <v>12.0106</v>
      </c>
      <c r="F10" s="3">
        <v>3.15</v>
      </c>
      <c r="G10" s="3">
        <v>2.5499999999999998</v>
      </c>
      <c r="H10" s="3">
        <v>2.2669999999999999</v>
      </c>
      <c r="I10" s="3">
        <v>3823</v>
      </c>
      <c r="J10" s="3">
        <v>4098</v>
      </c>
      <c r="K10" s="28">
        <v>5.5869999999999997</v>
      </c>
      <c r="L10" s="28">
        <v>3.7759999999999998</v>
      </c>
      <c r="M10" s="28">
        <v>2.9159999999999999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 s="3">
        <v>5.7</v>
      </c>
      <c r="AE10" s="3">
        <v>3.25</v>
      </c>
      <c r="AF10" s="3">
        <v>3.25</v>
      </c>
      <c r="AG10" s="23"/>
      <c r="AH10" s="23"/>
      <c r="AI10" s="23"/>
      <c r="AJ10" s="3">
        <v>5.6660473910117233</v>
      </c>
      <c r="AK10" s="3">
        <v>3.5084573959146002</v>
      </c>
      <c r="AL10" s="3">
        <v>3.1669213636340698</v>
      </c>
      <c r="AP10" s="24">
        <v>9.2045999999999992</v>
      </c>
      <c r="AQ10" s="24">
        <v>64.643799999999999</v>
      </c>
      <c r="AR10" s="24">
        <v>64.114800000000002</v>
      </c>
      <c r="AS10" s="24"/>
      <c r="AT10" s="24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16">
        <v>9.3363144268643747</v>
      </c>
      <c r="BJ10" s="16">
        <v>60.311406445008053</v>
      </c>
      <c r="BK10" s="16">
        <v>66.815678605037164</v>
      </c>
      <c r="BL10" s="16"/>
      <c r="BM10" s="16"/>
      <c r="BN10" s="16"/>
      <c r="BO10" s="3">
        <v>190</v>
      </c>
      <c r="BP10" s="3">
        <v>177</v>
      </c>
      <c r="BQ10" s="3" t="s">
        <v>156</v>
      </c>
      <c r="BR10" s="3">
        <v>76</v>
      </c>
      <c r="BS10" s="3">
        <v>67</v>
      </c>
      <c r="BT10" s="3">
        <v>65</v>
      </c>
      <c r="BU10" s="3">
        <v>65.13</v>
      </c>
      <c r="BV10" s="3">
        <v>437.0873431</v>
      </c>
      <c r="BW10" s="3">
        <v>41.908995150000003</v>
      </c>
      <c r="BX10" s="3">
        <v>34.105233759999997</v>
      </c>
      <c r="CO10" s="3">
        <v>436.7969517431298</v>
      </c>
      <c r="CP10" s="3">
        <v>41.868906317684925</v>
      </c>
      <c r="CQ10" s="3">
        <v>34.114087712466372</v>
      </c>
      <c r="CU10" s="3">
        <f t="shared" si="0"/>
        <v>-874.1746862</v>
      </c>
      <c r="CV10" s="3">
        <f t="shared" si="4"/>
        <v>-83.817990300000005</v>
      </c>
      <c r="CW10" s="3">
        <f t="shared" si="8"/>
        <v>-68.210467519999995</v>
      </c>
      <c r="DN10" s="3">
        <f t="shared" si="1"/>
        <v>-873.59390348625959</v>
      </c>
      <c r="DO10" s="3">
        <f t="shared" si="5"/>
        <v>-83.737812635369849</v>
      </c>
      <c r="DP10" s="3">
        <f t="shared" si="9"/>
        <v>-68.228175424932743</v>
      </c>
      <c r="DT10" s="3">
        <f t="shared" si="2"/>
        <v>-437.0873431</v>
      </c>
      <c r="DU10" s="3">
        <f t="shared" si="6"/>
        <v>-41.908995150000003</v>
      </c>
      <c r="DV10" s="3">
        <f t="shared" si="10"/>
        <v>-34.105233759999997</v>
      </c>
      <c r="EM10" s="27">
        <f t="shared" si="3"/>
        <v>-436.7969517431298</v>
      </c>
      <c r="EN10" s="27">
        <f t="shared" si="7"/>
        <v>-41.868906317684925</v>
      </c>
      <c r="EO10" s="27">
        <f t="shared" si="11"/>
        <v>-34.114087712466372</v>
      </c>
      <c r="EP10" s="27"/>
      <c r="EQ10" s="27"/>
      <c r="ER10" s="27"/>
      <c r="ES10" s="3">
        <v>11.259449600000002</v>
      </c>
      <c r="ET10" s="3">
        <v>24.382346399999999</v>
      </c>
      <c r="EU10" s="3">
        <v>47.886862000000001</v>
      </c>
      <c r="EV10" s="3">
        <v>64.49102640000001</v>
      </c>
      <c r="EW10" s="3">
        <v>392.07426559999999</v>
      </c>
      <c r="EX10" s="3">
        <v>489.97779159999999</v>
      </c>
      <c r="FC10" s="32">
        <v>64.643799999999999</v>
      </c>
      <c r="FD10" s="16">
        <v>66.815678605037164</v>
      </c>
    </row>
    <row r="11" spans="1:214" ht="16" x14ac:dyDescent="0.2">
      <c r="C11" s="7" t="s">
        <v>7</v>
      </c>
      <c r="D11" s="3">
        <v>7</v>
      </c>
      <c r="E11" s="3">
        <v>14.006855</v>
      </c>
      <c r="F11" s="3">
        <v>3.56</v>
      </c>
      <c r="G11" s="3">
        <v>3.04</v>
      </c>
      <c r="H11" s="3">
        <v>1.2505999999999999</v>
      </c>
      <c r="I11" s="3">
        <v>63.15</v>
      </c>
      <c r="J11" s="3">
        <v>77.36</v>
      </c>
      <c r="K11" s="28">
        <v>6.57</v>
      </c>
      <c r="L11" s="28">
        <v>4.5049999999999999</v>
      </c>
      <c r="M11" s="28">
        <v>3.5463333333333331</v>
      </c>
      <c r="N11" s="28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3">
        <v>6.7</v>
      </c>
      <c r="AE11" s="3">
        <v>3.9</v>
      </c>
      <c r="AF11" s="3">
        <v>3.9</v>
      </c>
      <c r="AG11" s="23"/>
      <c r="AH11" s="23"/>
      <c r="AI11" s="23"/>
      <c r="AJ11" s="3">
        <v>6.6548108315210781</v>
      </c>
      <c r="AK11" s="3">
        <v>4.2357754609438132</v>
      </c>
      <c r="AL11" s="3">
        <v>3.8744215370552331</v>
      </c>
      <c r="AP11" s="24">
        <v>7.8820999999999994</v>
      </c>
      <c r="AQ11" s="24">
        <v>54.063800000000001</v>
      </c>
      <c r="AR11" s="24">
        <v>52.053599999999996</v>
      </c>
      <c r="AS11" s="24"/>
      <c r="AT11" s="24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16">
        <v>7.9491365478691973</v>
      </c>
      <c r="BJ11" s="16">
        <v>49.95543365106785</v>
      </c>
      <c r="BK11" s="16">
        <v>54.614604522570168</v>
      </c>
      <c r="BL11" s="16"/>
      <c r="BM11" s="16"/>
      <c r="BN11" s="16"/>
      <c r="BO11" s="3">
        <v>179</v>
      </c>
      <c r="BP11" s="3">
        <v>166</v>
      </c>
      <c r="BQ11" s="3" t="s">
        <v>156</v>
      </c>
      <c r="BR11" s="3">
        <v>71</v>
      </c>
      <c r="BS11" s="3">
        <v>56.000000000000007</v>
      </c>
      <c r="BT11" s="3">
        <v>55.000000000000007</v>
      </c>
      <c r="BU11" s="3">
        <v>54.269999999999996</v>
      </c>
      <c r="BV11" s="3">
        <v>603.14750709999998</v>
      </c>
      <c r="BW11" s="3">
        <v>61.120885229999999</v>
      </c>
      <c r="BX11" s="3">
        <v>51.043991863333332</v>
      </c>
      <c r="CO11" s="3">
        <v>602.54657645539623</v>
      </c>
      <c r="CP11" s="3">
        <v>61.027427345030794</v>
      </c>
      <c r="CQ11" s="3">
        <v>51.059074990749103</v>
      </c>
      <c r="CU11" s="3">
        <f t="shared" si="0"/>
        <v>-1206.2950142</v>
      </c>
      <c r="CV11" s="3">
        <f t="shared" si="4"/>
        <v>-122.24177046</v>
      </c>
      <c r="CW11" s="3">
        <f t="shared" si="8"/>
        <v>-102.08798372666666</v>
      </c>
      <c r="DN11" s="3">
        <f t="shared" si="1"/>
        <v>-1205.0931529107925</v>
      </c>
      <c r="DO11" s="3">
        <f t="shared" si="5"/>
        <v>-122.05485469006159</v>
      </c>
      <c r="DP11" s="3">
        <f t="shared" si="9"/>
        <v>-102.11814998149821</v>
      </c>
      <c r="DT11" s="3">
        <f t="shared" si="2"/>
        <v>-603.14750709999998</v>
      </c>
      <c r="DU11" s="3">
        <f t="shared" si="6"/>
        <v>-61.120885229999999</v>
      </c>
      <c r="DV11" s="3">
        <f t="shared" si="10"/>
        <v>-51.043991863333332</v>
      </c>
      <c r="EM11" s="27">
        <f t="shared" si="3"/>
        <v>-602.54657645539623</v>
      </c>
      <c r="EN11" s="27">
        <f t="shared" si="7"/>
        <v>-61.027427345030794</v>
      </c>
      <c r="EO11" s="27">
        <f t="shared" si="11"/>
        <v>-51.059074990749103</v>
      </c>
      <c r="EP11" s="27"/>
      <c r="EQ11" s="27"/>
      <c r="ER11" s="27"/>
      <c r="ES11" s="3">
        <v>14.533437200000002</v>
      </c>
      <c r="ET11" s="3">
        <v>29.600620400000004</v>
      </c>
      <c r="EU11" s="3">
        <v>47.447428400000007</v>
      </c>
      <c r="EV11" s="3">
        <v>77.471936400000004</v>
      </c>
      <c r="EW11" s="3">
        <v>97.886943600000009</v>
      </c>
      <c r="EX11" s="3">
        <v>552.05296959999998</v>
      </c>
      <c r="EY11" s="3">
        <v>667.02496720000011</v>
      </c>
      <c r="FC11" s="32">
        <v>54.063800000000001</v>
      </c>
      <c r="FD11" s="16">
        <v>54.614604522570168</v>
      </c>
    </row>
    <row r="12" spans="1:214" ht="16" x14ac:dyDescent="0.2">
      <c r="C12" s="7" t="s">
        <v>8</v>
      </c>
      <c r="D12" s="3">
        <v>8</v>
      </c>
      <c r="E12" s="3">
        <v>15.9994</v>
      </c>
      <c r="F12" s="3">
        <v>3.78</v>
      </c>
      <c r="G12" s="3">
        <v>3.44</v>
      </c>
      <c r="H12" s="3">
        <v>1.429</v>
      </c>
      <c r="I12" s="3">
        <v>54.36</v>
      </c>
      <c r="J12" s="3">
        <v>90.2</v>
      </c>
      <c r="K12" s="28">
        <v>7.5529999999999999</v>
      </c>
      <c r="L12" s="28">
        <v>5.2569999999999997</v>
      </c>
      <c r="M12" s="28">
        <v>4.0620000000000003</v>
      </c>
      <c r="N12" s="28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3">
        <v>7.7</v>
      </c>
      <c r="AE12" s="3">
        <v>4.55</v>
      </c>
      <c r="AF12" s="3">
        <v>4.55</v>
      </c>
      <c r="AG12" s="23"/>
      <c r="AH12" s="23"/>
      <c r="AI12" s="23"/>
      <c r="AJ12" s="3">
        <v>7.6437323731216074</v>
      </c>
      <c r="AK12" s="3">
        <v>4.9865812373978464</v>
      </c>
      <c r="AL12" s="3">
        <v>4.5092177369015261</v>
      </c>
      <c r="AP12" s="24">
        <v>6.8240999999999996</v>
      </c>
      <c r="AQ12" s="24">
        <v>46.287500000000001</v>
      </c>
      <c r="AR12" s="24">
        <v>44.012799999999999</v>
      </c>
      <c r="AS12" s="24"/>
      <c r="AT12" s="24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16">
        <v>6.920702795144603</v>
      </c>
      <c r="BJ12" s="16">
        <v>42.433882037870795</v>
      </c>
      <c r="BK12" s="16">
        <v>46.926099458084565</v>
      </c>
      <c r="BL12" s="16"/>
      <c r="BM12" s="16"/>
      <c r="BN12" s="16"/>
      <c r="BO12" s="3">
        <v>171</v>
      </c>
      <c r="BP12" s="3">
        <v>150</v>
      </c>
      <c r="BQ12" s="3" t="s">
        <v>156</v>
      </c>
      <c r="BR12" s="3">
        <v>66</v>
      </c>
      <c r="BS12" s="3">
        <v>48</v>
      </c>
      <c r="BT12" s="3">
        <v>47</v>
      </c>
      <c r="BU12" s="3">
        <v>46.52</v>
      </c>
      <c r="BV12" s="3">
        <v>796.03346950000002</v>
      </c>
      <c r="BW12" s="3">
        <v>84.756981690000003</v>
      </c>
      <c r="BX12" s="3">
        <v>69.253836336666666</v>
      </c>
      <c r="CO12" s="3">
        <v>794.9322919280163</v>
      </c>
      <c r="CP12" s="3">
        <v>84.579477810200913</v>
      </c>
      <c r="CQ12" s="3">
        <v>69.161055960363058</v>
      </c>
      <c r="CU12" s="3">
        <f t="shared" si="0"/>
        <v>-1592.066939</v>
      </c>
      <c r="CV12" s="3">
        <f t="shared" si="4"/>
        <v>-169.51396338000001</v>
      </c>
      <c r="CW12" s="3">
        <f t="shared" si="8"/>
        <v>-138.50767267333333</v>
      </c>
      <c r="DN12" s="3">
        <f t="shared" si="1"/>
        <v>-1589.8645838560326</v>
      </c>
      <c r="DO12" s="3">
        <f t="shared" si="5"/>
        <v>-169.15895562040183</v>
      </c>
      <c r="DP12" s="3">
        <f t="shared" si="9"/>
        <v>-138.32211192072612</v>
      </c>
      <c r="DT12" s="3">
        <f t="shared" si="2"/>
        <v>-796.03346950000002</v>
      </c>
      <c r="DU12" s="3">
        <f t="shared" si="6"/>
        <v>-84.756981690000003</v>
      </c>
      <c r="DV12" s="3">
        <f t="shared" si="10"/>
        <v>-69.253836336666666</v>
      </c>
      <c r="EM12" s="27">
        <f t="shared" si="3"/>
        <v>-794.9322919280163</v>
      </c>
      <c r="EN12" s="27">
        <f t="shared" si="7"/>
        <v>-84.579477810200913</v>
      </c>
      <c r="EO12" s="27">
        <f t="shared" si="11"/>
        <v>-69.161055960363058</v>
      </c>
      <c r="EP12" s="27"/>
      <c r="EQ12" s="27"/>
      <c r="ER12" s="27"/>
      <c r="ES12" s="3">
        <v>13.618296000000001</v>
      </c>
      <c r="ET12" s="3">
        <v>35.115304800000004</v>
      </c>
      <c r="EU12" s="3">
        <v>54.933345600000003</v>
      </c>
      <c r="EV12" s="3">
        <v>77.411825199999996</v>
      </c>
      <c r="EW12" s="3">
        <v>113.895178</v>
      </c>
      <c r="EX12" s="3">
        <v>138.1148096</v>
      </c>
      <c r="EY12" s="3">
        <v>739.31075800000008</v>
      </c>
      <c r="EZ12" s="3">
        <v>871.38128280000001</v>
      </c>
      <c r="FC12" s="32">
        <v>46.287500000000001</v>
      </c>
      <c r="FD12" s="16">
        <v>46.926099458084565</v>
      </c>
    </row>
    <row r="13" spans="1:214" ht="16" x14ac:dyDescent="0.2">
      <c r="C13" s="7" t="s">
        <v>9</v>
      </c>
      <c r="D13" s="3">
        <v>9</v>
      </c>
      <c r="E13" s="3">
        <v>18.998403161999999</v>
      </c>
      <c r="F13" s="3">
        <v>4</v>
      </c>
      <c r="G13" s="3">
        <v>3.98</v>
      </c>
      <c r="H13" s="3">
        <v>1.696</v>
      </c>
      <c r="I13" s="3">
        <v>53.53</v>
      </c>
      <c r="J13" s="3">
        <v>85.03</v>
      </c>
      <c r="K13" s="28">
        <v>8.5340000000000007</v>
      </c>
      <c r="L13" s="28">
        <v>5.9969999999999999</v>
      </c>
      <c r="M13" s="28">
        <v>4.6093333333333328</v>
      </c>
      <c r="N13" s="28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3">
        <v>8.6999999999999993</v>
      </c>
      <c r="AE13" s="3">
        <v>5.2</v>
      </c>
      <c r="AF13" s="3">
        <v>5.2</v>
      </c>
      <c r="AG13" s="23"/>
      <c r="AH13" s="23"/>
      <c r="AI13" s="23"/>
      <c r="AJ13" s="3">
        <v>8.6319403000514345</v>
      </c>
      <c r="AK13" s="3">
        <v>5.7260677702048595</v>
      </c>
      <c r="AL13" s="3">
        <v>5.1695021268744448</v>
      </c>
      <c r="AP13" s="24">
        <v>6.0834999999999999</v>
      </c>
      <c r="AQ13" s="24">
        <v>40.5214</v>
      </c>
      <c r="AR13" s="24">
        <v>38.088000000000001</v>
      </c>
      <c r="AS13" s="24"/>
      <c r="AT13" s="24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16">
        <v>6.1284019769790099</v>
      </c>
      <c r="BJ13" s="16">
        <v>36.95380643258256</v>
      </c>
      <c r="BK13" s="16">
        <v>40.932375073407002</v>
      </c>
      <c r="BL13" s="16"/>
      <c r="BM13" s="16"/>
      <c r="BN13" s="16"/>
      <c r="BO13" s="3">
        <v>163</v>
      </c>
      <c r="BP13" s="3">
        <v>146</v>
      </c>
      <c r="BQ13" s="3" t="s">
        <v>156</v>
      </c>
      <c r="BR13" s="3">
        <v>57</v>
      </c>
      <c r="BS13" s="3">
        <v>42</v>
      </c>
      <c r="BT13" s="3">
        <v>41</v>
      </c>
      <c r="BU13" s="3">
        <v>40.71</v>
      </c>
      <c r="BV13" s="3">
        <v>1015.610942</v>
      </c>
      <c r="BW13" s="3">
        <v>111.83328280000001</v>
      </c>
      <c r="BX13" s="3">
        <v>90.913463866666675</v>
      </c>
      <c r="CO13" s="3">
        <v>1013.7620971876147</v>
      </c>
      <c r="CP13" s="3">
        <v>111.52498404810656</v>
      </c>
      <c r="CQ13" s="3">
        <v>90.898483753638615</v>
      </c>
      <c r="CU13" s="3">
        <f t="shared" si="0"/>
        <v>-2031.221884</v>
      </c>
      <c r="CV13" s="3">
        <f t="shared" si="4"/>
        <v>-223.66656560000001</v>
      </c>
      <c r="CW13" s="3">
        <f t="shared" si="8"/>
        <v>-181.82692773333335</v>
      </c>
      <c r="DN13" s="3">
        <f t="shared" si="1"/>
        <v>-2027.5241943752294</v>
      </c>
      <c r="DO13" s="3">
        <f t="shared" si="5"/>
        <v>-223.04996809621312</v>
      </c>
      <c r="DP13" s="3">
        <f t="shared" si="9"/>
        <v>-181.79696750727723</v>
      </c>
      <c r="DT13" s="3">
        <f t="shared" si="2"/>
        <v>-1015.610942</v>
      </c>
      <c r="DU13" s="3">
        <f t="shared" si="6"/>
        <v>-111.83328280000001</v>
      </c>
      <c r="DV13" s="3">
        <f t="shared" si="10"/>
        <v>-90.913463866666675</v>
      </c>
      <c r="EM13" s="27">
        <f t="shared" si="3"/>
        <v>-1013.7620971876147</v>
      </c>
      <c r="EN13" s="27">
        <f t="shared" si="7"/>
        <v>-111.52498404810656</v>
      </c>
      <c r="EO13" s="27">
        <f t="shared" si="11"/>
        <v>-90.898483753638615</v>
      </c>
      <c r="EP13" s="27"/>
      <c r="EQ13" s="27"/>
      <c r="ER13" s="27"/>
      <c r="ES13" s="3">
        <v>17.421884000000002</v>
      </c>
      <c r="ET13" s="3">
        <v>34.970208800000002</v>
      </c>
      <c r="EU13" s="3">
        <v>62.706345599999999</v>
      </c>
      <c r="EV13" s="3">
        <v>87.137402800000004</v>
      </c>
      <c r="EW13" s="3">
        <v>114.23926280000001</v>
      </c>
      <c r="EX13" s="3">
        <v>157.159696</v>
      </c>
      <c r="EY13" s="3">
        <v>185.18084279999999</v>
      </c>
      <c r="EZ13" s="3">
        <v>953.87975920000008</v>
      </c>
      <c r="FA13" s="3">
        <v>1103.0819760000002</v>
      </c>
      <c r="FC13" s="32">
        <v>40.5214</v>
      </c>
      <c r="FD13" s="16">
        <v>40.932375073407002</v>
      </c>
    </row>
    <row r="14" spans="1:214" ht="16" x14ac:dyDescent="0.2">
      <c r="C14" s="7" t="s">
        <v>10</v>
      </c>
      <c r="D14" s="3">
        <v>10</v>
      </c>
      <c r="E14" s="3">
        <v>20.1797</v>
      </c>
      <c r="F14" s="3">
        <v>4.4400000000000004</v>
      </c>
      <c r="H14" s="3">
        <v>0.89990000000000003</v>
      </c>
      <c r="I14" s="3">
        <v>24.56</v>
      </c>
      <c r="J14" s="3">
        <v>27.07</v>
      </c>
      <c r="K14" s="28">
        <v>9.5150000000000006</v>
      </c>
      <c r="L14" s="28">
        <v>6.7309999999999999</v>
      </c>
      <c r="M14" s="28">
        <v>5.1783333333333337</v>
      </c>
      <c r="N14" s="28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3">
        <v>9.6999999999999993</v>
      </c>
      <c r="AE14" s="3">
        <v>5.85</v>
      </c>
      <c r="AF14" s="3">
        <v>5.85</v>
      </c>
      <c r="AG14" s="23"/>
      <c r="AH14" s="23"/>
      <c r="AI14" s="23"/>
      <c r="AJ14" s="3">
        <v>9.6196681678561955</v>
      </c>
      <c r="AK14" s="3">
        <v>6.458354525995099</v>
      </c>
      <c r="AL14" s="3">
        <v>5.8403133527998525</v>
      </c>
      <c r="AP14" s="24">
        <v>5.4486999999999997</v>
      </c>
      <c r="AQ14" s="24">
        <v>36.130700000000004</v>
      </c>
      <c r="AR14" s="24">
        <v>33.556233333333331</v>
      </c>
      <c r="AS14" s="24"/>
      <c r="AT14" s="24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16">
        <v>5.4991501865691799</v>
      </c>
      <c r="BJ14" s="16">
        <v>32.76376345527374</v>
      </c>
      <c r="BK14" s="16">
        <v>36.230932694486114</v>
      </c>
      <c r="BL14" s="16"/>
      <c r="BM14" s="16"/>
      <c r="BN14" s="16"/>
      <c r="BO14" s="3">
        <v>156</v>
      </c>
      <c r="BP14" s="3">
        <v>158</v>
      </c>
      <c r="BQ14" s="3" t="s">
        <v>156</v>
      </c>
      <c r="BR14" s="3">
        <v>58</v>
      </c>
      <c r="BS14" s="3">
        <v>38</v>
      </c>
      <c r="BU14" s="3">
        <v>36.18</v>
      </c>
      <c r="BV14" s="3">
        <v>1261.9533960000001</v>
      </c>
      <c r="BW14" s="3">
        <v>142.3811279</v>
      </c>
      <c r="BX14" s="3">
        <v>116.01932973333334</v>
      </c>
      <c r="CO14" s="3">
        <v>1259.0395596497738</v>
      </c>
      <c r="CP14" s="3">
        <v>141.87404965452077</v>
      </c>
      <c r="CQ14" s="3">
        <v>116.01963652016575</v>
      </c>
      <c r="CU14" s="3">
        <f t="shared" si="0"/>
        <v>-2523.9067920000002</v>
      </c>
      <c r="CV14" s="3">
        <f t="shared" si="4"/>
        <v>-284.76225579999999</v>
      </c>
      <c r="CW14" s="3">
        <f t="shared" si="8"/>
        <v>-232.03865946666667</v>
      </c>
      <c r="DN14" s="3">
        <f t="shared" si="1"/>
        <v>-2518.0791192995475</v>
      </c>
      <c r="DO14" s="3">
        <f t="shared" si="5"/>
        <v>-283.74809930904155</v>
      </c>
      <c r="DP14" s="3">
        <f t="shared" si="9"/>
        <v>-232.03927304033149</v>
      </c>
      <c r="DT14" s="3">
        <f t="shared" si="2"/>
        <v>-1261.9533960000001</v>
      </c>
      <c r="DU14" s="3">
        <f t="shared" si="6"/>
        <v>-142.3811279</v>
      </c>
      <c r="DV14" s="3">
        <f t="shared" si="10"/>
        <v>-116.01932973333334</v>
      </c>
      <c r="EM14" s="27">
        <f t="shared" si="3"/>
        <v>-1259.0395596497738</v>
      </c>
      <c r="EN14" s="27">
        <f t="shared" si="7"/>
        <v>-141.87404965452077</v>
      </c>
      <c r="EO14" s="27">
        <f t="shared" si="11"/>
        <v>-116.01963652016575</v>
      </c>
      <c r="EP14" s="27"/>
      <c r="EQ14" s="27"/>
      <c r="ER14" s="27"/>
      <c r="ES14" s="3">
        <v>21.564374800000003</v>
      </c>
      <c r="ET14" s="3">
        <v>40.961637200000006</v>
      </c>
      <c r="EU14" s="3">
        <v>63.448408000000001</v>
      </c>
      <c r="EV14" s="3">
        <v>97.110680000000002</v>
      </c>
      <c r="EW14" s="3">
        <v>126.21279200000002</v>
      </c>
      <c r="EX14" s="3">
        <v>157.92663200000001</v>
      </c>
      <c r="EY14" s="3">
        <v>207.26963599999999</v>
      </c>
      <c r="EZ14" s="3">
        <v>239.08711600000001</v>
      </c>
      <c r="FA14" s="3">
        <v>1195.7889924000001</v>
      </c>
      <c r="FB14" s="3">
        <v>1362.1550296</v>
      </c>
      <c r="FC14" s="32">
        <v>36.130700000000004</v>
      </c>
      <c r="FD14" s="16">
        <v>36.230932694486114</v>
      </c>
    </row>
    <row r="15" spans="1:214" ht="16" x14ac:dyDescent="0.2">
      <c r="C15" s="7" t="s">
        <v>11</v>
      </c>
      <c r="D15" s="3">
        <v>11</v>
      </c>
      <c r="E15" s="3">
        <v>22.989769280000001</v>
      </c>
      <c r="F15" s="3">
        <v>2.15</v>
      </c>
      <c r="G15" s="3">
        <v>0.93</v>
      </c>
      <c r="H15" s="3">
        <v>0.97</v>
      </c>
      <c r="I15" s="3">
        <v>370.95</v>
      </c>
      <c r="J15" s="3">
        <v>1156</v>
      </c>
      <c r="K15" s="28">
        <v>10.497999999999999</v>
      </c>
      <c r="L15" s="28">
        <v>7.7080000000000002</v>
      </c>
      <c r="M15" s="28">
        <v>6.2600000000000007</v>
      </c>
      <c r="N15" s="28">
        <v>3.2109999999999999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3">
        <v>10.7</v>
      </c>
      <c r="AE15" s="3">
        <v>6.85</v>
      </c>
      <c r="AF15" s="3">
        <v>6.85</v>
      </c>
      <c r="AG15" s="3">
        <v>2.2000000000000002</v>
      </c>
      <c r="AH15" s="23"/>
      <c r="AI15" s="23"/>
      <c r="AJ15" s="3">
        <v>10.60899969430073</v>
      </c>
      <c r="AK15" s="3">
        <v>7.3988295506283031</v>
      </c>
      <c r="AL15" s="3">
        <v>6.8656999336491129</v>
      </c>
      <c r="AM15" s="3">
        <v>2.1945446970410503</v>
      </c>
      <c r="AP15" s="24">
        <v>4.9196999999999997</v>
      </c>
      <c r="AQ15" s="24">
        <v>32.110299999999995</v>
      </c>
      <c r="AR15" s="24">
        <v>29.059733333333334</v>
      </c>
      <c r="AS15" s="24">
        <v>179.17230000000001</v>
      </c>
      <c r="AT15" s="24"/>
      <c r="AU15" s="24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16">
        <v>4.9863325029991712</v>
      </c>
      <c r="BJ15" s="16">
        <v>28.599118083755705</v>
      </c>
      <c r="BK15" s="16">
        <v>30.819872998372478</v>
      </c>
      <c r="BL15" s="16">
        <v>216.94705085840147</v>
      </c>
      <c r="BM15" s="16"/>
      <c r="BN15" s="16"/>
      <c r="BO15" s="3">
        <v>225</v>
      </c>
      <c r="BP15" s="3">
        <v>250</v>
      </c>
      <c r="BQ15" s="3">
        <v>186</v>
      </c>
      <c r="BR15" s="3">
        <v>166</v>
      </c>
      <c r="BS15" s="3">
        <v>190</v>
      </c>
      <c r="BT15" s="3">
        <v>217</v>
      </c>
      <c r="BU15" s="3">
        <v>216.48999999999998</v>
      </c>
      <c r="BV15" s="3">
        <v>1535.7011150000001</v>
      </c>
      <c r="BW15" s="3">
        <v>186.97832210000001</v>
      </c>
      <c r="BX15" s="3">
        <v>160.37981386666667</v>
      </c>
      <c r="BY15" s="3">
        <v>7.2991824230000004</v>
      </c>
      <c r="CO15" s="3">
        <v>1531.3274493269328</v>
      </c>
      <c r="CP15" s="3">
        <v>186.20238833037689</v>
      </c>
      <c r="CQ15" s="3">
        <v>160.33518583428398</v>
      </c>
      <c r="CR15" s="3">
        <v>7.2805727451320728</v>
      </c>
      <c r="CU15" s="3">
        <f t="shared" si="0"/>
        <v>-3071.4022300000001</v>
      </c>
      <c r="CV15" s="3">
        <f t="shared" si="4"/>
        <v>-373.95664420000003</v>
      </c>
      <c r="CW15" s="3">
        <f t="shared" si="8"/>
        <v>-320.75962773333333</v>
      </c>
      <c r="CX15" s="3">
        <f t="shared" ref="CX15:CX69" si="12">-2*BY15</f>
        <v>-14.598364846000001</v>
      </c>
      <c r="DN15" s="3">
        <f t="shared" si="1"/>
        <v>-3062.6548986538655</v>
      </c>
      <c r="DO15" s="3">
        <f t="shared" si="5"/>
        <v>-372.40477666075378</v>
      </c>
      <c r="DP15" s="3">
        <f t="shared" si="9"/>
        <v>-320.67037166856795</v>
      </c>
      <c r="DQ15" s="3">
        <f t="shared" ref="DQ15:DQ24" si="13">-2*CR15</f>
        <v>-14.561145490264146</v>
      </c>
      <c r="DT15" s="3">
        <f t="shared" si="2"/>
        <v>-1535.7011150000001</v>
      </c>
      <c r="DU15" s="3">
        <f t="shared" si="6"/>
        <v>-186.97832210000001</v>
      </c>
      <c r="DV15" s="3">
        <f t="shared" si="10"/>
        <v>-160.37981386666667</v>
      </c>
      <c r="DW15" s="3">
        <f t="shared" ref="DW15:DW46" si="14">-1*BY15</f>
        <v>-7.2991824230000004</v>
      </c>
      <c r="EM15" s="27">
        <f t="shared" si="3"/>
        <v>-1531.3274493269328</v>
      </c>
      <c r="EN15" s="27">
        <f t="shared" si="7"/>
        <v>-186.20238833037689</v>
      </c>
      <c r="EO15" s="27">
        <f t="shared" si="11"/>
        <v>-160.33518583428398</v>
      </c>
      <c r="EP15" s="27">
        <f t="shared" ref="EP15:EP24" si="15">-1*CR15</f>
        <v>-7.2805727451320728</v>
      </c>
      <c r="EQ15" s="27"/>
      <c r="ER15" s="27"/>
      <c r="ES15" s="3">
        <v>5.1384712000000006</v>
      </c>
      <c r="ET15" s="3">
        <v>47.284713600000003</v>
      </c>
      <c r="EU15" s="3">
        <v>71.635968000000005</v>
      </c>
      <c r="EV15" s="3">
        <v>98.914016000000018</v>
      </c>
      <c r="EW15" s="3">
        <v>138.39049199999999</v>
      </c>
      <c r="EX15" s="3">
        <v>172.14604</v>
      </c>
      <c r="EY15" s="3">
        <v>208.47185999999999</v>
      </c>
      <c r="EZ15" s="3">
        <v>264.17836</v>
      </c>
      <c r="FA15" s="3">
        <v>299.87197600000002</v>
      </c>
      <c r="FB15" s="3">
        <v>1465.0819864</v>
      </c>
      <c r="FC15" s="32">
        <v>179.17230000000001</v>
      </c>
      <c r="FD15" s="16">
        <v>216.94705085840147</v>
      </c>
    </row>
    <row r="16" spans="1:214" ht="16" x14ac:dyDescent="0.2">
      <c r="C16" s="7" t="s">
        <v>12</v>
      </c>
      <c r="D16" s="3">
        <v>12</v>
      </c>
      <c r="E16" s="3">
        <v>24.305499999999999</v>
      </c>
      <c r="F16" s="3">
        <v>2.39</v>
      </c>
      <c r="G16" s="3">
        <v>1.31</v>
      </c>
      <c r="H16" s="3">
        <v>1.74</v>
      </c>
      <c r="I16" s="3">
        <v>923</v>
      </c>
      <c r="J16" s="3">
        <v>1363</v>
      </c>
      <c r="K16" s="28">
        <v>11.484</v>
      </c>
      <c r="L16" s="28">
        <v>8.6989999999999998</v>
      </c>
      <c r="M16" s="28">
        <v>7.2966666666666669</v>
      </c>
      <c r="N16" s="28">
        <v>4.1559999999999997</v>
      </c>
      <c r="O16" s="28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3">
        <v>11.7</v>
      </c>
      <c r="AE16" s="3">
        <v>7.85</v>
      </c>
      <c r="AF16" s="3">
        <v>7.85</v>
      </c>
      <c r="AG16" s="3">
        <v>2.85</v>
      </c>
      <c r="AH16" s="23"/>
      <c r="AI16" s="23"/>
      <c r="AJ16" s="3">
        <v>11.599510752800256</v>
      </c>
      <c r="AK16" s="3">
        <v>8.3630683933490815</v>
      </c>
      <c r="AL16" s="3">
        <v>7.8744323749764948</v>
      </c>
      <c r="AM16" s="3">
        <v>3.1052241945071621</v>
      </c>
      <c r="AP16" s="24">
        <v>4.4965000000000002</v>
      </c>
      <c r="AQ16" s="24">
        <v>28.883400000000002</v>
      </c>
      <c r="AR16" s="24">
        <v>25.585966666666668</v>
      </c>
      <c r="AS16" s="24">
        <v>136.64070000000001</v>
      </c>
      <c r="AT16" s="24"/>
      <c r="AU16" s="24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16">
        <v>4.5605371750036374</v>
      </c>
      <c r="BJ16" s="16">
        <v>25.301718226802937</v>
      </c>
      <c r="BK16" s="16">
        <v>26.87177817063057</v>
      </c>
      <c r="BL16" s="16">
        <v>153.32226279898705</v>
      </c>
      <c r="BM16" s="16"/>
      <c r="BN16" s="16"/>
      <c r="BO16" s="3">
        <v>240</v>
      </c>
      <c r="BP16" s="3">
        <v>250.99999999999997</v>
      </c>
      <c r="BQ16" s="3">
        <v>160</v>
      </c>
      <c r="BR16" s="3">
        <v>141</v>
      </c>
      <c r="BS16" s="3">
        <v>145</v>
      </c>
      <c r="BT16" s="3">
        <v>168</v>
      </c>
      <c r="BU16" s="3">
        <v>167.11</v>
      </c>
      <c r="BV16" s="3">
        <v>1836.9443590000001</v>
      </c>
      <c r="BW16" s="3">
        <v>239.0838554</v>
      </c>
      <c r="BX16" s="3">
        <v>211.0100612</v>
      </c>
      <c r="BY16" s="3">
        <v>14.62970365</v>
      </c>
      <c r="CO16" s="3">
        <v>1830.6214096726785</v>
      </c>
      <c r="CP16" s="3">
        <v>237.89784019207804</v>
      </c>
      <c r="CQ16" s="3">
        <v>210.91026511747702</v>
      </c>
      <c r="CR16" s="3">
        <v>14.576813818963483</v>
      </c>
      <c r="CU16" s="3">
        <f t="shared" si="0"/>
        <v>-3673.8887180000002</v>
      </c>
      <c r="CV16" s="3">
        <f t="shared" si="4"/>
        <v>-478.16771080000001</v>
      </c>
      <c r="CW16" s="3">
        <f t="shared" si="8"/>
        <v>-422.02012239999999</v>
      </c>
      <c r="CX16" s="3">
        <f t="shared" si="12"/>
        <v>-29.259407299999999</v>
      </c>
      <c r="DN16" s="3">
        <f t="shared" si="1"/>
        <v>-3661.242819345357</v>
      </c>
      <c r="DO16" s="3">
        <f t="shared" si="5"/>
        <v>-475.79568038415607</v>
      </c>
      <c r="DP16" s="3">
        <f t="shared" si="9"/>
        <v>-421.82053023495405</v>
      </c>
      <c r="DQ16" s="3">
        <f t="shared" si="13"/>
        <v>-29.153627637926967</v>
      </c>
      <c r="DT16" s="3">
        <f t="shared" si="2"/>
        <v>-1836.9443590000001</v>
      </c>
      <c r="DU16" s="3">
        <f t="shared" si="6"/>
        <v>-239.0838554</v>
      </c>
      <c r="DV16" s="3">
        <f t="shared" si="10"/>
        <v>-211.0100612</v>
      </c>
      <c r="DW16" s="3">
        <f t="shared" si="14"/>
        <v>-14.62970365</v>
      </c>
      <c r="EM16" s="27">
        <f t="shared" si="3"/>
        <v>-1830.6214096726785</v>
      </c>
      <c r="EN16" s="27">
        <f t="shared" si="7"/>
        <v>-237.89784019207804</v>
      </c>
      <c r="EO16" s="27">
        <f t="shared" si="11"/>
        <v>-210.91026511747702</v>
      </c>
      <c r="EP16" s="27">
        <f t="shared" si="15"/>
        <v>-14.576813818963483</v>
      </c>
      <c r="EQ16" s="27"/>
      <c r="ER16" s="27"/>
      <c r="ES16" s="3">
        <v>7.6455228000000011</v>
      </c>
      <c r="ET16" s="3">
        <v>15.035054800000003</v>
      </c>
      <c r="EU16" s="3">
        <v>80.142739200000008</v>
      </c>
      <c r="EV16" s="3">
        <v>109.23656</v>
      </c>
      <c r="EW16" s="3">
        <v>141.24059200000002</v>
      </c>
      <c r="EX16" s="3">
        <v>186.50018000000003</v>
      </c>
      <c r="EY16" s="3">
        <v>224.94025600000003</v>
      </c>
      <c r="EZ16" s="3">
        <v>265.89878400000003</v>
      </c>
      <c r="FA16" s="3">
        <v>327.94805200000002</v>
      </c>
      <c r="FB16" s="3">
        <v>367.52816800000005</v>
      </c>
      <c r="FC16" s="32">
        <v>136.64070000000001</v>
      </c>
      <c r="FD16" s="16">
        <v>153.32226279898705</v>
      </c>
    </row>
    <row r="17" spans="3:160" ht="16" x14ac:dyDescent="0.2">
      <c r="C17" s="7" t="s">
        <v>13</v>
      </c>
      <c r="D17" s="3">
        <v>13</v>
      </c>
      <c r="E17" s="3">
        <v>26.981538400000002</v>
      </c>
      <c r="F17" s="3">
        <v>2.52</v>
      </c>
      <c r="G17" s="3">
        <v>1.61</v>
      </c>
      <c r="H17" s="3">
        <v>2.7</v>
      </c>
      <c r="I17" s="3">
        <v>933.43700000000001</v>
      </c>
      <c r="J17" s="3">
        <v>2792</v>
      </c>
      <c r="K17" s="28">
        <v>12.471</v>
      </c>
      <c r="L17" s="28">
        <v>9.6859999999999999</v>
      </c>
      <c r="M17" s="28">
        <v>8.3230000000000004</v>
      </c>
      <c r="N17" s="28">
        <v>5.2009999999999996</v>
      </c>
      <c r="O17" s="28">
        <v>3.6419999999999999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3">
        <v>12.7</v>
      </c>
      <c r="AE17" s="3">
        <v>8.85</v>
      </c>
      <c r="AF17" s="3">
        <v>8.85</v>
      </c>
      <c r="AG17" s="3">
        <v>3.5</v>
      </c>
      <c r="AH17" s="3">
        <v>3.5</v>
      </c>
      <c r="AI17" s="23"/>
      <c r="AJ17" s="3">
        <v>12.590581789399137</v>
      </c>
      <c r="AK17" s="3">
        <v>9.3378884456752118</v>
      </c>
      <c r="AL17" s="3">
        <v>8.8797182819876905</v>
      </c>
      <c r="AM17" s="3">
        <v>4.0767509371523367</v>
      </c>
      <c r="AN17" s="3">
        <v>3.208825025697692</v>
      </c>
      <c r="AP17" s="24">
        <v>4.1261999999999999</v>
      </c>
      <c r="AQ17" s="24">
        <v>26.185499999999998</v>
      </c>
      <c r="AR17" s="24">
        <v>22.870433333333331</v>
      </c>
      <c r="AS17" s="24">
        <v>110.8784</v>
      </c>
      <c r="AT17" s="24">
        <v>142.03649999999999</v>
      </c>
      <c r="AU17" s="24"/>
      <c r="AV17" s="24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16">
        <v>4.2015532629747172</v>
      </c>
      <c r="BJ17" s="16">
        <v>22.66036922919135</v>
      </c>
      <c r="BK17" s="16">
        <v>23.829584822440353</v>
      </c>
      <c r="BL17" s="16">
        <v>116.78417625692927</v>
      </c>
      <c r="BM17" s="16">
        <v>148.372066468935</v>
      </c>
      <c r="BN17" s="16"/>
      <c r="BO17" s="3">
        <v>239</v>
      </c>
      <c r="BP17" s="3">
        <v>225</v>
      </c>
      <c r="BQ17" s="3">
        <v>143</v>
      </c>
      <c r="BR17" s="3">
        <v>121</v>
      </c>
      <c r="BS17" s="3">
        <v>118</v>
      </c>
      <c r="BT17" s="3">
        <v>137</v>
      </c>
      <c r="BU17" s="3">
        <v>136.07</v>
      </c>
      <c r="BV17" s="3">
        <v>2165.7198100000001</v>
      </c>
      <c r="BW17" s="3">
        <v>297.85983499999998</v>
      </c>
      <c r="BX17" s="3">
        <v>268.38083399999999</v>
      </c>
      <c r="BY17" s="3">
        <v>25.584227729999999</v>
      </c>
      <c r="BZ17" s="3">
        <v>15.53593906</v>
      </c>
      <c r="CO17" s="3">
        <v>2156.8045486418669</v>
      </c>
      <c r="CP17" s="3">
        <v>296.59004165053909</v>
      </c>
      <c r="CQ17" s="3">
        <v>268.19926134430733</v>
      </c>
      <c r="CR17" s="3">
        <v>25.124940594514182</v>
      </c>
      <c r="CS17" s="3">
        <v>15.565703595383455</v>
      </c>
      <c r="CU17" s="3">
        <f t="shared" si="0"/>
        <v>-4331.4396200000001</v>
      </c>
      <c r="CV17" s="3">
        <f t="shared" si="4"/>
        <v>-595.71966999999995</v>
      </c>
      <c r="CW17" s="3">
        <f t="shared" si="8"/>
        <v>-536.76166799999999</v>
      </c>
      <c r="CX17" s="3">
        <f t="shared" si="12"/>
        <v>-51.168455459999997</v>
      </c>
      <c r="CY17" s="3">
        <f t="shared" ref="CY17:CY69" si="16">-2*BZ17</f>
        <v>-31.071878120000001</v>
      </c>
      <c r="DN17" s="3">
        <f t="shared" si="1"/>
        <v>-4313.6090972837337</v>
      </c>
      <c r="DO17" s="3">
        <f t="shared" si="5"/>
        <v>-593.18008330107818</v>
      </c>
      <c r="DP17" s="3">
        <f t="shared" si="9"/>
        <v>-536.39852268861466</v>
      </c>
      <c r="DQ17" s="3">
        <f t="shared" si="13"/>
        <v>-50.249881189028365</v>
      </c>
      <c r="DR17" s="3">
        <f t="shared" ref="DR17:DR24" si="17">-2*CS17</f>
        <v>-31.131407190766911</v>
      </c>
      <c r="DT17" s="3">
        <f t="shared" si="2"/>
        <v>-2165.7198100000001</v>
      </c>
      <c r="DU17" s="3">
        <f t="shared" si="6"/>
        <v>-297.85983499999998</v>
      </c>
      <c r="DV17" s="3">
        <f t="shared" si="10"/>
        <v>-268.38083399999999</v>
      </c>
      <c r="DW17" s="3">
        <f t="shared" si="14"/>
        <v>-25.584227729999999</v>
      </c>
      <c r="DX17" s="3">
        <f t="shared" ref="DX17:DX48" si="18">-1*BZ17</f>
        <v>-15.53593906</v>
      </c>
      <c r="EM17" s="27">
        <f t="shared" si="3"/>
        <v>-2156.8045486418669</v>
      </c>
      <c r="EN17" s="27">
        <f t="shared" si="7"/>
        <v>-296.59004165053909</v>
      </c>
      <c r="EO17" s="27">
        <f t="shared" si="11"/>
        <v>-268.19926134430733</v>
      </c>
      <c r="EP17" s="27">
        <f t="shared" si="15"/>
        <v>-25.124940594514182</v>
      </c>
      <c r="EQ17" s="27">
        <f t="shared" ref="EQ17:EQ24" si="19">-1*CS17</f>
        <v>-15.565703595383455</v>
      </c>
      <c r="ER17" s="27"/>
      <c r="ES17" s="3">
        <v>5.9862464000000006</v>
      </c>
      <c r="ET17" s="3">
        <v>18.8282788</v>
      </c>
      <c r="EU17" s="3">
        <v>28.447107200000005</v>
      </c>
      <c r="EV17" s="3">
        <v>119.994392</v>
      </c>
      <c r="EW17" s="3">
        <v>153.708484</v>
      </c>
      <c r="EX17" s="3">
        <v>190.46959200000001</v>
      </c>
      <c r="EY17" s="3">
        <v>241.42938000000004</v>
      </c>
      <c r="EZ17" s="3">
        <v>284.58507600000002</v>
      </c>
      <c r="FA17" s="3">
        <v>330.20740400000005</v>
      </c>
      <c r="FB17" s="3">
        <v>398.56834800000001</v>
      </c>
      <c r="FC17" s="32">
        <v>142.03649999999999</v>
      </c>
      <c r="FD17" s="16">
        <v>148.372066468935</v>
      </c>
    </row>
    <row r="18" spans="3:160" ht="16" x14ac:dyDescent="0.2">
      <c r="C18" s="7" t="s">
        <v>14</v>
      </c>
      <c r="D18" s="3">
        <v>14</v>
      </c>
      <c r="E18" s="3">
        <v>28.085000000000001</v>
      </c>
      <c r="F18" s="3">
        <v>2.82</v>
      </c>
      <c r="G18" s="3">
        <v>1.9</v>
      </c>
      <c r="H18" s="3">
        <v>2.3296000000000001</v>
      </c>
      <c r="I18" s="3">
        <v>1687</v>
      </c>
      <c r="J18" s="3">
        <v>3538</v>
      </c>
      <c r="K18" s="28">
        <v>13.459</v>
      </c>
      <c r="L18" s="28">
        <v>10.669</v>
      </c>
      <c r="M18" s="28">
        <v>9.3360000000000003</v>
      </c>
      <c r="N18" s="28">
        <v>6.1269999999999998</v>
      </c>
      <c r="O18" s="28">
        <v>4.541666666666667</v>
      </c>
      <c r="P18" s="28"/>
      <c r="Q18"/>
      <c r="R18"/>
      <c r="S18"/>
      <c r="T18"/>
      <c r="U18"/>
      <c r="V18"/>
      <c r="W18"/>
      <c r="X18"/>
      <c r="Y18"/>
      <c r="Z18"/>
      <c r="AA18"/>
      <c r="AB18"/>
      <c r="AC18"/>
      <c r="AD18" s="3">
        <v>13.7</v>
      </c>
      <c r="AE18" s="3">
        <v>9.85</v>
      </c>
      <c r="AF18" s="3">
        <v>9.85</v>
      </c>
      <c r="AG18" s="3">
        <v>4.1500000000000004</v>
      </c>
      <c r="AH18" s="3">
        <v>4.1500000000000004</v>
      </c>
      <c r="AI18" s="23"/>
      <c r="AJ18" s="3">
        <v>13.582728549896093</v>
      </c>
      <c r="AK18" s="3">
        <v>10.300326325230387</v>
      </c>
      <c r="AL18" s="3">
        <v>9.8783996804987115</v>
      </c>
      <c r="AM18" s="3">
        <v>4.9941318518519715</v>
      </c>
      <c r="AN18" s="3">
        <v>4.1157926025183453</v>
      </c>
      <c r="AP18" s="24">
        <v>3.8616999999999995</v>
      </c>
      <c r="AQ18" s="24">
        <v>23.963699999999999</v>
      </c>
      <c r="AR18" s="24">
        <v>20.648633333333333</v>
      </c>
      <c r="AS18" s="24">
        <v>95.008399999999995</v>
      </c>
      <c r="AT18" s="24">
        <v>114.82826666666666</v>
      </c>
      <c r="AU18" s="24"/>
      <c r="AV18" s="24"/>
      <c r="AW18" s="24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16">
        <v>3.8946519328330895</v>
      </c>
      <c r="BJ18" s="16">
        <v>20.543038474586112</v>
      </c>
      <c r="BK18" s="16">
        <v>21.420473643896678</v>
      </c>
      <c r="BL18" s="16">
        <v>95.33188432408889</v>
      </c>
      <c r="BM18" s="16">
        <v>115.67638265074069</v>
      </c>
      <c r="BN18" s="16"/>
      <c r="BO18" s="3">
        <v>231.99999999999997</v>
      </c>
      <c r="BP18" s="3">
        <v>219</v>
      </c>
      <c r="BQ18" s="3" t="s">
        <v>156</v>
      </c>
      <c r="BR18" s="3">
        <v>111</v>
      </c>
      <c r="BS18" s="3">
        <v>111.00000000000001</v>
      </c>
      <c r="BT18" s="3">
        <v>114.99999999999999</v>
      </c>
      <c r="BU18" s="3">
        <v>114.75999999999999</v>
      </c>
      <c r="BV18" s="3">
        <v>2522.1370999999999</v>
      </c>
      <c r="BW18" s="3">
        <v>363.23349760000002</v>
      </c>
      <c r="BX18" s="3">
        <v>332.26618996666667</v>
      </c>
      <c r="BY18" s="3">
        <v>37.908589749999997</v>
      </c>
      <c r="BZ18" s="3">
        <v>25.58900142666667</v>
      </c>
      <c r="CO18" s="3">
        <v>2510.1127891414512</v>
      </c>
      <c r="CP18" s="3">
        <v>360.87863378740116</v>
      </c>
      <c r="CQ18" s="3">
        <v>331.91921124689395</v>
      </c>
      <c r="CR18" s="3">
        <v>37.704804423734828</v>
      </c>
      <c r="CS18" s="3">
        <v>25.608470986994217</v>
      </c>
      <c r="CU18" s="3">
        <f t="shared" si="0"/>
        <v>-5044.2741999999998</v>
      </c>
      <c r="CV18" s="3">
        <f t="shared" si="4"/>
        <v>-726.46699520000004</v>
      </c>
      <c r="CW18" s="3">
        <f t="shared" si="8"/>
        <v>-664.53237993333335</v>
      </c>
      <c r="CX18" s="3">
        <f t="shared" si="12"/>
        <v>-75.817179499999995</v>
      </c>
      <c r="CY18" s="3">
        <f t="shared" si="16"/>
        <v>-51.178002853333339</v>
      </c>
      <c r="DN18" s="3">
        <f t="shared" si="1"/>
        <v>-5020.2255782829025</v>
      </c>
      <c r="DO18" s="3">
        <f t="shared" si="5"/>
        <v>-721.75726757480231</v>
      </c>
      <c r="DP18" s="3">
        <f t="shared" si="9"/>
        <v>-663.8384224937879</v>
      </c>
      <c r="DQ18" s="3">
        <f t="shared" si="13"/>
        <v>-75.409608847469656</v>
      </c>
      <c r="DR18" s="3">
        <f t="shared" si="17"/>
        <v>-51.216941973988433</v>
      </c>
      <c r="DT18" s="3">
        <f t="shared" si="2"/>
        <v>-2522.1370999999999</v>
      </c>
      <c r="DU18" s="3">
        <f t="shared" si="6"/>
        <v>-363.23349760000002</v>
      </c>
      <c r="DV18" s="3">
        <f t="shared" si="10"/>
        <v>-332.26618996666667</v>
      </c>
      <c r="DW18" s="3">
        <f t="shared" si="14"/>
        <v>-37.908589749999997</v>
      </c>
      <c r="DX18" s="3">
        <f t="shared" si="18"/>
        <v>-25.58900142666667</v>
      </c>
      <c r="EM18" s="27">
        <f t="shared" si="3"/>
        <v>-2510.1127891414512</v>
      </c>
      <c r="EN18" s="27">
        <f t="shared" si="7"/>
        <v>-360.87863378740116</v>
      </c>
      <c r="EO18" s="27">
        <f t="shared" si="11"/>
        <v>-331.91921124689395</v>
      </c>
      <c r="EP18" s="27">
        <f t="shared" si="15"/>
        <v>-37.704804423734828</v>
      </c>
      <c r="EQ18" s="27">
        <f t="shared" si="19"/>
        <v>-25.608470986994217</v>
      </c>
      <c r="ER18" s="27"/>
      <c r="ES18" s="3">
        <v>8.1512860000000007</v>
      </c>
      <c r="ET18" s="3">
        <v>16.345064400000002</v>
      </c>
      <c r="EU18" s="3">
        <v>33.4923024</v>
      </c>
      <c r="EV18" s="3">
        <v>45.140402000000002</v>
      </c>
      <c r="EW18" s="3">
        <v>166.76712400000002</v>
      </c>
      <c r="EX18" s="3">
        <v>205.05174000000002</v>
      </c>
      <c r="EY18" s="3">
        <v>246.51810400000002</v>
      </c>
      <c r="EZ18" s="3">
        <v>303.16772800000001</v>
      </c>
      <c r="FA18" s="3">
        <v>351.10122800000005</v>
      </c>
      <c r="FB18" s="3">
        <v>401.42881199999999</v>
      </c>
      <c r="FC18" s="32">
        <v>114.82826666666666</v>
      </c>
      <c r="FD18" s="16">
        <v>115.67638265074069</v>
      </c>
    </row>
    <row r="19" spans="3:160" ht="16" x14ac:dyDescent="0.2">
      <c r="C19" s="7" t="s">
        <v>15</v>
      </c>
      <c r="D19" s="3">
        <v>15</v>
      </c>
      <c r="E19" s="3">
        <v>30.973761998000001</v>
      </c>
      <c r="F19" s="3">
        <v>3.16</v>
      </c>
      <c r="G19" s="3">
        <v>2.19</v>
      </c>
      <c r="H19" s="3">
        <v>1.82</v>
      </c>
      <c r="I19" s="3">
        <v>317.3</v>
      </c>
      <c r="J19" s="3">
        <v>553.65</v>
      </c>
      <c r="K19" s="28">
        <v>14.448</v>
      </c>
      <c r="L19" s="28">
        <v>11.648</v>
      </c>
      <c r="M19" s="28">
        <v>10.339666666666668</v>
      </c>
      <c r="N19" s="28">
        <v>6.9989999999999997</v>
      </c>
      <c r="O19" s="28">
        <v>5.3793333333333342</v>
      </c>
      <c r="P19" s="28"/>
      <c r="Q19" s="28"/>
      <c r="R19"/>
      <c r="S19"/>
      <c r="T19"/>
      <c r="U19"/>
      <c r="V19"/>
      <c r="W19"/>
      <c r="X19"/>
      <c r="Y19"/>
      <c r="Z19"/>
      <c r="AA19"/>
      <c r="AB19"/>
      <c r="AC19"/>
      <c r="AD19" s="3">
        <v>14.7</v>
      </c>
      <c r="AE19" s="3">
        <v>10.85</v>
      </c>
      <c r="AF19" s="3">
        <v>10.85</v>
      </c>
      <c r="AG19" s="3">
        <v>4.8</v>
      </c>
      <c r="AH19" s="3">
        <v>4.8</v>
      </c>
      <c r="AI19" s="23"/>
      <c r="AJ19" s="3">
        <v>14.575111300509906</v>
      </c>
      <c r="AK19" s="3">
        <v>11.268696700630752</v>
      </c>
      <c r="AL19" s="3">
        <v>10.873058030666531</v>
      </c>
      <c r="AM19" s="3">
        <v>5.8330687895570295</v>
      </c>
      <c r="AN19" s="3">
        <v>4.95520132052014</v>
      </c>
      <c r="AP19" s="24">
        <v>3.5972</v>
      </c>
      <c r="AQ19" s="24">
        <v>22.059299999999997</v>
      </c>
      <c r="AR19" s="24">
        <v>18.850033333333332</v>
      </c>
      <c r="AS19" s="24">
        <v>83.634900000000002</v>
      </c>
      <c r="AT19" s="24">
        <v>97.565233333333325</v>
      </c>
      <c r="AU19" s="24"/>
      <c r="AV19" s="24"/>
      <c r="AW19" s="24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16">
        <v>3.6294748567820068</v>
      </c>
      <c r="BJ19" s="16">
        <v>18.777681716125695</v>
      </c>
      <c r="BK19" s="16">
        <v>19.46094644240841</v>
      </c>
      <c r="BL19" s="16">
        <v>81.620844391954378</v>
      </c>
      <c r="BM19" s="16">
        <v>96.080859122394756</v>
      </c>
      <c r="BN19" s="16"/>
      <c r="BO19" s="3">
        <v>223</v>
      </c>
      <c r="BP19" s="3">
        <v>190</v>
      </c>
      <c r="BQ19" s="3" t="s">
        <v>156</v>
      </c>
      <c r="BR19" s="3">
        <v>107</v>
      </c>
      <c r="BS19" s="3">
        <v>98</v>
      </c>
      <c r="BT19" s="3">
        <v>100</v>
      </c>
      <c r="BU19" s="3">
        <v>99.22</v>
      </c>
      <c r="BV19" s="3">
        <v>2906.336616</v>
      </c>
      <c r="BW19" s="3">
        <v>435.15397430000002</v>
      </c>
      <c r="BX19" s="3">
        <v>402.63543636666668</v>
      </c>
      <c r="BY19" s="3">
        <v>51.769685010000003</v>
      </c>
      <c r="BZ19" s="3">
        <v>37.120238770000007</v>
      </c>
      <c r="CO19" s="3">
        <v>2890.3002026297736</v>
      </c>
      <c r="CP19" s="3">
        <v>431.92324980056691</v>
      </c>
      <c r="CQ19" s="3">
        <v>402.12642611285486</v>
      </c>
      <c r="CR19" s="3">
        <v>51.436437353959718</v>
      </c>
      <c r="CS19" s="3">
        <v>37.119258462838992</v>
      </c>
      <c r="CU19" s="3">
        <f t="shared" si="0"/>
        <v>-5812.6732320000001</v>
      </c>
      <c r="CV19" s="3">
        <f t="shared" si="4"/>
        <v>-870.30794860000003</v>
      </c>
      <c r="CW19" s="3">
        <f t="shared" si="8"/>
        <v>-805.27087273333336</v>
      </c>
      <c r="CX19" s="3">
        <f t="shared" si="12"/>
        <v>-103.53937002000001</v>
      </c>
      <c r="CY19" s="3">
        <f t="shared" si="16"/>
        <v>-74.240477540000015</v>
      </c>
      <c r="DN19" s="3">
        <f t="shared" si="1"/>
        <v>-5780.6004052595472</v>
      </c>
      <c r="DO19" s="3">
        <f t="shared" si="5"/>
        <v>-863.84649960113381</v>
      </c>
      <c r="DP19" s="3">
        <f t="shared" si="9"/>
        <v>-804.25285222570972</v>
      </c>
      <c r="DQ19" s="3">
        <f t="shared" si="13"/>
        <v>-102.87287470791944</v>
      </c>
      <c r="DR19" s="3">
        <f t="shared" si="17"/>
        <v>-74.238516925677985</v>
      </c>
      <c r="DT19" s="3">
        <f t="shared" si="2"/>
        <v>-2906.336616</v>
      </c>
      <c r="DU19" s="3">
        <f t="shared" si="6"/>
        <v>-435.15397430000002</v>
      </c>
      <c r="DV19" s="3">
        <f t="shared" si="10"/>
        <v>-402.63543636666668</v>
      </c>
      <c r="DW19" s="3">
        <f t="shared" si="14"/>
        <v>-51.769685010000003</v>
      </c>
      <c r="DX19" s="3">
        <f t="shared" si="18"/>
        <v>-37.120238770000007</v>
      </c>
      <c r="EM19" s="27">
        <f t="shared" si="3"/>
        <v>-2890.3002026297736</v>
      </c>
      <c r="EN19" s="27">
        <f t="shared" si="7"/>
        <v>-431.92324980056691</v>
      </c>
      <c r="EO19" s="27">
        <f t="shared" si="11"/>
        <v>-402.12642611285486</v>
      </c>
      <c r="EP19" s="27">
        <f t="shared" si="15"/>
        <v>-51.436437353959718</v>
      </c>
      <c r="EQ19" s="27">
        <f t="shared" si="19"/>
        <v>-37.119258462838992</v>
      </c>
      <c r="ER19" s="27"/>
      <c r="ES19" s="3">
        <v>10.486295200000001</v>
      </c>
      <c r="ET19" s="3">
        <v>19.724764800000003</v>
      </c>
      <c r="EU19" s="3">
        <v>30.179968000000002</v>
      </c>
      <c r="EV19" s="3">
        <v>51.374348000000005</v>
      </c>
      <c r="EW19" s="3">
        <v>65.02269960000001</v>
      </c>
      <c r="EX19" s="3">
        <v>220.431916</v>
      </c>
      <c r="EY19" s="3">
        <v>263.21450800000002</v>
      </c>
      <c r="EZ19" s="3">
        <v>309.406856</v>
      </c>
      <c r="FA19" s="3">
        <v>371.72558800000002</v>
      </c>
      <c r="FB19" s="3">
        <v>424.49907600000006</v>
      </c>
      <c r="FC19" s="32">
        <v>97.565233333333325</v>
      </c>
      <c r="FD19" s="16">
        <v>96.080859122394756</v>
      </c>
    </row>
    <row r="20" spans="3:160" ht="16" x14ac:dyDescent="0.2">
      <c r="C20" s="7" t="s">
        <v>16</v>
      </c>
      <c r="D20" s="3">
        <v>16</v>
      </c>
      <c r="E20" s="3">
        <v>32.067500000000003</v>
      </c>
      <c r="F20" s="3">
        <v>3.44</v>
      </c>
      <c r="G20" s="3">
        <v>2.58</v>
      </c>
      <c r="H20" s="3">
        <v>2.0670000000000002</v>
      </c>
      <c r="I20" s="3">
        <v>388.36</v>
      </c>
      <c r="J20" s="3">
        <v>717.75</v>
      </c>
      <c r="K20" s="28">
        <v>15.436999999999999</v>
      </c>
      <c r="L20" s="28">
        <v>12.625</v>
      </c>
      <c r="M20" s="28">
        <v>11.332666666666666</v>
      </c>
      <c r="N20" s="28">
        <v>7.8630000000000004</v>
      </c>
      <c r="O20" s="28">
        <v>6.069</v>
      </c>
      <c r="P20" s="28"/>
      <c r="Q20" s="28"/>
      <c r="R20"/>
      <c r="S20"/>
      <c r="T20"/>
      <c r="U20"/>
      <c r="V20"/>
      <c r="W20"/>
      <c r="X20"/>
      <c r="Y20"/>
      <c r="Z20"/>
      <c r="AA20"/>
      <c r="AB20"/>
      <c r="AC20"/>
      <c r="AD20" s="3">
        <v>15.7</v>
      </c>
      <c r="AE20" s="3">
        <v>11.85</v>
      </c>
      <c r="AF20" s="3">
        <v>11.85</v>
      </c>
      <c r="AG20" s="3">
        <v>5.45</v>
      </c>
      <c r="AH20" s="3">
        <v>5.45</v>
      </c>
      <c r="AI20" s="23"/>
      <c r="AJ20" s="3">
        <v>15.567987908571858</v>
      </c>
      <c r="AK20" s="3">
        <v>12.237581075737168</v>
      </c>
      <c r="AL20" s="3">
        <v>11.862136594357496</v>
      </c>
      <c r="AM20" s="3">
        <v>6.6701202582950403</v>
      </c>
      <c r="AN20" s="3">
        <v>5.703382506899084</v>
      </c>
      <c r="AP20" s="24">
        <v>3.3327</v>
      </c>
      <c r="AQ20" s="24">
        <v>20.472300000000001</v>
      </c>
      <c r="AR20" s="24">
        <v>17.31593333333333</v>
      </c>
      <c r="AS20" s="24">
        <v>74.906399999999991</v>
      </c>
      <c r="AT20" s="24">
        <v>85.433499999999995</v>
      </c>
      <c r="AU20" s="24"/>
      <c r="AV20" s="24"/>
      <c r="AW20" s="24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16">
        <v>3.3979985281767107</v>
      </c>
      <c r="BJ20" s="16">
        <v>17.290998824884486</v>
      </c>
      <c r="BK20" s="16">
        <v>17.838270392254</v>
      </c>
      <c r="BL20" s="16">
        <v>71.378023418380863</v>
      </c>
      <c r="BM20" s="16">
        <v>83.476778810484248</v>
      </c>
      <c r="BN20" s="16"/>
      <c r="BO20" s="3">
        <v>214</v>
      </c>
      <c r="BP20" s="3">
        <v>189</v>
      </c>
      <c r="BQ20" s="3" t="s">
        <v>156</v>
      </c>
      <c r="BR20" s="3">
        <v>105</v>
      </c>
      <c r="BS20" s="3">
        <v>88</v>
      </c>
      <c r="BT20" s="3">
        <v>88</v>
      </c>
      <c r="BU20" s="3">
        <v>87.38</v>
      </c>
      <c r="BV20" s="3">
        <v>3318.4581939999998</v>
      </c>
      <c r="BW20" s="3">
        <v>513.71898109999995</v>
      </c>
      <c r="BX20" s="3">
        <v>479.38032810000004</v>
      </c>
      <c r="BY20" s="3">
        <v>67.747719799999999</v>
      </c>
      <c r="BZ20" s="3">
        <v>49.245830063333329</v>
      </c>
      <c r="CO20" s="3">
        <v>3297.4951453181493</v>
      </c>
      <c r="CP20" s="3">
        <v>509.38994312821472</v>
      </c>
      <c r="CQ20" s="3">
        <v>478.61360943640415</v>
      </c>
      <c r="CR20" s="3">
        <v>67.258009818325235</v>
      </c>
      <c r="CS20" s="3">
        <v>49.174695874567043</v>
      </c>
      <c r="CU20" s="3">
        <f t="shared" si="0"/>
        <v>-6636.9163879999996</v>
      </c>
      <c r="CV20" s="3">
        <f t="shared" si="4"/>
        <v>-1027.4379621999999</v>
      </c>
      <c r="CW20" s="3">
        <f t="shared" si="8"/>
        <v>-958.76065620000008</v>
      </c>
      <c r="CX20" s="3">
        <f t="shared" si="12"/>
        <v>-135.4954396</v>
      </c>
      <c r="CY20" s="3">
        <f t="shared" si="16"/>
        <v>-98.491660126666659</v>
      </c>
      <c r="DN20" s="3">
        <f t="shared" si="1"/>
        <v>-6594.9902906362986</v>
      </c>
      <c r="DO20" s="3">
        <f t="shared" si="5"/>
        <v>-1018.7798862564294</v>
      </c>
      <c r="DP20" s="3">
        <f t="shared" si="9"/>
        <v>-957.22721887280829</v>
      </c>
      <c r="DQ20" s="3">
        <f t="shared" si="13"/>
        <v>-134.51601963665047</v>
      </c>
      <c r="DR20" s="3">
        <f t="shared" si="17"/>
        <v>-98.349391749134085</v>
      </c>
      <c r="DT20" s="3">
        <f t="shared" si="2"/>
        <v>-3318.4581939999998</v>
      </c>
      <c r="DU20" s="3">
        <f t="shared" si="6"/>
        <v>-513.71898109999995</v>
      </c>
      <c r="DV20" s="3">
        <f t="shared" si="10"/>
        <v>-479.38032810000004</v>
      </c>
      <c r="DW20" s="3">
        <f t="shared" si="14"/>
        <v>-67.747719799999999</v>
      </c>
      <c r="DX20" s="3">
        <f t="shared" si="18"/>
        <v>-49.245830063333329</v>
      </c>
      <c r="EM20" s="27">
        <f t="shared" si="3"/>
        <v>-3297.4951453181493</v>
      </c>
      <c r="EN20" s="27">
        <f t="shared" si="7"/>
        <v>-509.38994312821472</v>
      </c>
      <c r="EO20" s="27">
        <f t="shared" si="11"/>
        <v>-478.61360943640415</v>
      </c>
      <c r="EP20" s="27">
        <f t="shared" si="15"/>
        <v>-67.258009818325235</v>
      </c>
      <c r="EQ20" s="27">
        <f t="shared" si="19"/>
        <v>-49.174695874567043</v>
      </c>
      <c r="ER20" s="27"/>
      <c r="ES20" s="3">
        <v>10.359854400000001</v>
      </c>
      <c r="ET20" s="3">
        <v>23.329364000000002</v>
      </c>
      <c r="EU20" s="3">
        <v>34.833404000000002</v>
      </c>
      <c r="EV20" s="3">
        <v>47.301296000000001</v>
      </c>
      <c r="EW20" s="3">
        <v>72.682732000000001</v>
      </c>
      <c r="EX20" s="3">
        <v>88.048398399999996</v>
      </c>
      <c r="EY20" s="3">
        <v>280.92658400000005</v>
      </c>
      <c r="EZ20" s="3">
        <v>328.22788000000003</v>
      </c>
      <c r="FA20" s="3">
        <v>379.09439200000008</v>
      </c>
      <c r="FB20" s="3">
        <v>447.08223200000003</v>
      </c>
      <c r="FC20" s="32">
        <v>85.433499999999995</v>
      </c>
      <c r="FD20" s="16">
        <v>83.476778810484248</v>
      </c>
    </row>
    <row r="21" spans="3:160" ht="16" x14ac:dyDescent="0.2">
      <c r="C21" s="7" t="s">
        <v>17</v>
      </c>
      <c r="D21" s="3">
        <v>17</v>
      </c>
      <c r="E21" s="3">
        <v>35.451500000000003</v>
      </c>
      <c r="F21" s="3">
        <v>3.5</v>
      </c>
      <c r="G21" s="3">
        <v>3.16</v>
      </c>
      <c r="H21" s="3">
        <v>3.214</v>
      </c>
      <c r="I21" s="3">
        <v>171.65</v>
      </c>
      <c r="J21" s="3">
        <v>239.11</v>
      </c>
      <c r="K21" s="28">
        <v>16.427</v>
      </c>
      <c r="L21" s="28">
        <v>13.599</v>
      </c>
      <c r="M21" s="28">
        <v>12.322999999999999</v>
      </c>
      <c r="N21" s="28">
        <v>8.6989999999999998</v>
      </c>
      <c r="O21" s="28">
        <v>6.7836666666666661</v>
      </c>
      <c r="P21" s="28"/>
      <c r="Q21" s="28"/>
      <c r="R21"/>
      <c r="S21"/>
      <c r="T21"/>
      <c r="U21"/>
      <c r="V21"/>
      <c r="W21"/>
      <c r="X21"/>
      <c r="Y21"/>
      <c r="Z21"/>
      <c r="AA21"/>
      <c r="AB21"/>
      <c r="AC21"/>
      <c r="AD21" s="3">
        <v>16.7</v>
      </c>
      <c r="AE21" s="3">
        <v>12.85</v>
      </c>
      <c r="AF21" s="3">
        <v>12.85</v>
      </c>
      <c r="AG21" s="3">
        <v>6.1</v>
      </c>
      <c r="AH21" s="3">
        <v>6.1</v>
      </c>
      <c r="AI21" s="23"/>
      <c r="AJ21" s="3">
        <v>16.561212991500899</v>
      </c>
      <c r="AK21" s="3">
        <v>13.205066526522472</v>
      </c>
      <c r="AL21" s="3">
        <v>12.847626413400988</v>
      </c>
      <c r="AM21" s="3">
        <v>7.4804426486333897</v>
      </c>
      <c r="AN21" s="3">
        <v>6.4631070733326688</v>
      </c>
      <c r="AP21" s="24">
        <v>3.1739999999999999</v>
      </c>
      <c r="AQ21" s="24">
        <v>19.044</v>
      </c>
      <c r="AR21" s="24">
        <v>16.04633333333333</v>
      </c>
      <c r="AS21" s="24">
        <v>68.029399999999995</v>
      </c>
      <c r="AT21" s="24">
        <v>76.14073333333333</v>
      </c>
      <c r="AU21" s="24"/>
      <c r="AV21" s="24"/>
      <c r="AW21" s="24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16">
        <v>3.1942104740243313</v>
      </c>
      <c r="BJ21" s="16">
        <v>16.024152515627229</v>
      </c>
      <c r="BK21" s="16">
        <v>16.469968318761676</v>
      </c>
      <c r="BL21" s="16">
        <v>63.645966203213831</v>
      </c>
      <c r="BM21" s="16">
        <v>73.664260021999198</v>
      </c>
      <c r="BN21" s="16"/>
      <c r="BO21" s="3">
        <v>206</v>
      </c>
      <c r="BP21" s="3">
        <v>182</v>
      </c>
      <c r="BQ21" s="3" t="s">
        <v>156</v>
      </c>
      <c r="BR21" s="3">
        <v>102</v>
      </c>
      <c r="BS21" s="3">
        <v>79</v>
      </c>
      <c r="BT21" s="3">
        <v>78</v>
      </c>
      <c r="BU21" s="3">
        <v>78.069999999999993</v>
      </c>
      <c r="BV21" s="3">
        <v>3758.6333490000002</v>
      </c>
      <c r="BW21" s="3">
        <v>598.81319619999999</v>
      </c>
      <c r="BX21" s="3">
        <v>562.73259740000003</v>
      </c>
      <c r="BY21" s="3">
        <v>85.288058109999994</v>
      </c>
      <c r="BZ21" s="3">
        <v>63.012236956666662</v>
      </c>
      <c r="CO21" s="3">
        <v>3731.6721282807484</v>
      </c>
      <c r="CP21" s="3">
        <v>593.11702358428795</v>
      </c>
      <c r="CQ21" s="3">
        <v>561.4421338270389</v>
      </c>
      <c r="CR21" s="3">
        <v>84.592386902133811</v>
      </c>
      <c r="CS21" s="3">
        <v>63.147968828555371</v>
      </c>
      <c r="CU21" s="3">
        <f t="shared" si="0"/>
        <v>-7517.2666980000004</v>
      </c>
      <c r="CV21" s="3">
        <f t="shared" si="4"/>
        <v>-1197.6263924</v>
      </c>
      <c r="CW21" s="3">
        <f t="shared" si="8"/>
        <v>-1125.4651948000001</v>
      </c>
      <c r="CX21" s="3">
        <f t="shared" si="12"/>
        <v>-170.57611621999999</v>
      </c>
      <c r="CY21" s="3">
        <f t="shared" si="16"/>
        <v>-126.02447391333332</v>
      </c>
      <c r="DN21" s="3">
        <f t="shared" si="1"/>
        <v>-7463.3442565614969</v>
      </c>
      <c r="DO21" s="3">
        <f t="shared" si="5"/>
        <v>-1186.2340471685759</v>
      </c>
      <c r="DP21" s="3">
        <f t="shared" si="9"/>
        <v>-1122.8842676540778</v>
      </c>
      <c r="DQ21" s="3">
        <f t="shared" si="13"/>
        <v>-169.18477380426762</v>
      </c>
      <c r="DR21" s="3">
        <f t="shared" si="17"/>
        <v>-126.29593765711074</v>
      </c>
      <c r="DT21" s="3">
        <f t="shared" si="2"/>
        <v>-3758.6333490000002</v>
      </c>
      <c r="DU21" s="3">
        <f t="shared" si="6"/>
        <v>-598.81319619999999</v>
      </c>
      <c r="DV21" s="3">
        <f t="shared" si="10"/>
        <v>-562.73259740000003</v>
      </c>
      <c r="DW21" s="3">
        <f t="shared" si="14"/>
        <v>-85.288058109999994</v>
      </c>
      <c r="DX21" s="3">
        <f t="shared" si="18"/>
        <v>-63.012236956666662</v>
      </c>
      <c r="EM21" s="27">
        <f t="shared" si="3"/>
        <v>-3731.6721282807484</v>
      </c>
      <c r="EN21" s="27">
        <f t="shared" si="7"/>
        <v>-593.11702358428795</v>
      </c>
      <c r="EO21" s="27">
        <f t="shared" si="11"/>
        <v>-561.4421338270389</v>
      </c>
      <c r="EP21" s="27">
        <f t="shared" si="15"/>
        <v>-84.592386902133811</v>
      </c>
      <c r="EQ21" s="27">
        <f t="shared" si="19"/>
        <v>-63.147968828555371</v>
      </c>
      <c r="ER21" s="27"/>
      <c r="ES21" s="3">
        <v>12.966400400000001</v>
      </c>
      <c r="ET21" s="3">
        <v>23.806108000000002</v>
      </c>
      <c r="EU21" s="3">
        <v>39.611208000000005</v>
      </c>
      <c r="EV21" s="3">
        <v>53.457512000000008</v>
      </c>
      <c r="EW21" s="3">
        <v>67.780560000000008</v>
      </c>
      <c r="EX21" s="3">
        <v>97.027768000000009</v>
      </c>
      <c r="EY21" s="3">
        <v>114.1926248</v>
      </c>
      <c r="EZ21" s="3">
        <v>348.28222</v>
      </c>
      <c r="FA21" s="3">
        <v>400.02967200000001</v>
      </c>
      <c r="FB21" s="3">
        <v>455.62216800000004</v>
      </c>
      <c r="FC21" s="32">
        <v>76.14073333333333</v>
      </c>
      <c r="FD21" s="16">
        <v>73.664260021999198</v>
      </c>
    </row>
    <row r="22" spans="3:160" ht="16" x14ac:dyDescent="0.2">
      <c r="C22" s="7" t="s">
        <v>18</v>
      </c>
      <c r="D22" s="3">
        <v>18</v>
      </c>
      <c r="E22" s="3">
        <v>39.877499999999998</v>
      </c>
      <c r="F22" s="3">
        <v>3.57</v>
      </c>
      <c r="H22" s="3">
        <v>1.7837000000000001</v>
      </c>
      <c r="I22" s="3">
        <v>83.8</v>
      </c>
      <c r="J22" s="3">
        <v>87.3</v>
      </c>
      <c r="K22" s="28">
        <v>17.417000000000002</v>
      </c>
      <c r="L22" s="28">
        <v>14.571999999999999</v>
      </c>
      <c r="M22" s="28">
        <v>13.316000000000001</v>
      </c>
      <c r="N22" s="28">
        <v>9.5190000000000001</v>
      </c>
      <c r="O22" s="28">
        <v>7.5150000000000006</v>
      </c>
      <c r="P22" s="28"/>
      <c r="Q22" s="28"/>
      <c r="R22"/>
      <c r="S22"/>
      <c r="T22"/>
      <c r="U22"/>
      <c r="V22"/>
      <c r="W22"/>
      <c r="X22"/>
      <c r="Y22"/>
      <c r="Z22"/>
      <c r="AA22"/>
      <c r="AB22"/>
      <c r="AC22"/>
      <c r="AD22" s="3">
        <v>17.7</v>
      </c>
      <c r="AE22" s="3">
        <v>13.85</v>
      </c>
      <c r="AF22" s="3">
        <v>13.85</v>
      </c>
      <c r="AG22" s="3">
        <v>6.75</v>
      </c>
      <c r="AH22" s="3">
        <v>6.75</v>
      </c>
      <c r="AI22" s="23"/>
      <c r="AJ22" s="3">
        <v>17.554729434195423</v>
      </c>
      <c r="AK22" s="3">
        <v>14.171181300583015</v>
      </c>
      <c r="AL22" s="3">
        <v>13.838427118306237</v>
      </c>
      <c r="AM22" s="3">
        <v>8.2733674210780475</v>
      </c>
      <c r="AN22" s="3">
        <v>7.1861663974714265</v>
      </c>
      <c r="AP22" s="24">
        <v>2.9624000000000001</v>
      </c>
      <c r="AQ22" s="24">
        <v>17.880200000000002</v>
      </c>
      <c r="AR22" s="24">
        <v>14.900166666666667</v>
      </c>
      <c r="AS22" s="24">
        <v>62.316199999999995</v>
      </c>
      <c r="AT22" s="24">
        <v>68.752366666666674</v>
      </c>
      <c r="AU22" s="24"/>
      <c r="AV22" s="24"/>
      <c r="AW22" s="24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16">
        <v>3.013432943999375</v>
      </c>
      <c r="BJ22" s="16">
        <v>14.931712149592961</v>
      </c>
      <c r="BK22" s="16">
        <v>15.290755097454955</v>
      </c>
      <c r="BL22" s="16">
        <v>57.546096500808197</v>
      </c>
      <c r="BM22" s="16">
        <v>66.252292761760117</v>
      </c>
      <c r="BN22" s="16"/>
      <c r="BO22" s="3">
        <v>197</v>
      </c>
      <c r="BP22" s="3">
        <v>183</v>
      </c>
      <c r="BQ22" s="3" t="s">
        <v>156</v>
      </c>
      <c r="BR22" s="3">
        <v>106</v>
      </c>
      <c r="BS22" s="3">
        <v>71</v>
      </c>
      <c r="BU22" s="3">
        <v>70.56</v>
      </c>
      <c r="BV22" s="3">
        <v>4227.0122869999996</v>
      </c>
      <c r="BW22" s="3">
        <v>690.4568921</v>
      </c>
      <c r="BX22" s="3">
        <v>652.92188106666663</v>
      </c>
      <c r="BY22" s="3">
        <v>104.44070360000001</v>
      </c>
      <c r="BZ22" s="3">
        <v>78.159368523333328</v>
      </c>
      <c r="CO22" s="3">
        <v>4192.8321229648345</v>
      </c>
      <c r="CP22" s="3">
        <v>683.07959273050949</v>
      </c>
      <c r="CQ22" s="3">
        <v>651.37736639283094</v>
      </c>
      <c r="CR22" s="3">
        <v>103.47639924604982</v>
      </c>
      <c r="CS22" s="3">
        <v>78.067670877993805</v>
      </c>
      <c r="CU22" s="3">
        <f t="shared" si="0"/>
        <v>-8454.0245739999991</v>
      </c>
      <c r="CV22" s="3">
        <f t="shared" si="4"/>
        <v>-1380.9137842</v>
      </c>
      <c r="CW22" s="3">
        <f t="shared" si="8"/>
        <v>-1305.8437621333333</v>
      </c>
      <c r="CX22" s="3">
        <f t="shared" si="12"/>
        <v>-208.88140720000001</v>
      </c>
      <c r="CY22" s="3">
        <f t="shared" si="16"/>
        <v>-156.31873704666666</v>
      </c>
      <c r="DN22" s="3">
        <f t="shared" si="1"/>
        <v>-8385.6642459296691</v>
      </c>
      <c r="DO22" s="3">
        <f t="shared" si="5"/>
        <v>-1366.159185461019</v>
      </c>
      <c r="DP22" s="3">
        <f t="shared" si="9"/>
        <v>-1302.7547327856619</v>
      </c>
      <c r="DQ22" s="3">
        <f t="shared" si="13"/>
        <v>-206.95279849209965</v>
      </c>
      <c r="DR22" s="3">
        <f t="shared" si="17"/>
        <v>-156.13534175598761</v>
      </c>
      <c r="DT22" s="3">
        <f t="shared" si="2"/>
        <v>-4227.0122869999996</v>
      </c>
      <c r="DU22" s="3">
        <f t="shared" si="6"/>
        <v>-690.4568921</v>
      </c>
      <c r="DV22" s="3">
        <f t="shared" si="10"/>
        <v>-652.92188106666663</v>
      </c>
      <c r="DW22" s="3">
        <f t="shared" si="14"/>
        <v>-104.44070360000001</v>
      </c>
      <c r="DX22" s="3">
        <f t="shared" si="18"/>
        <v>-78.159368523333328</v>
      </c>
      <c r="EM22" s="27">
        <f t="shared" si="3"/>
        <v>-4192.8321229648345</v>
      </c>
      <c r="EN22" s="27">
        <f t="shared" si="7"/>
        <v>-683.07959273050949</v>
      </c>
      <c r="EO22" s="27">
        <f t="shared" si="11"/>
        <v>-651.37736639283094</v>
      </c>
      <c r="EP22" s="27">
        <f t="shared" si="15"/>
        <v>-103.47639924604982</v>
      </c>
      <c r="EQ22" s="27">
        <f t="shared" si="19"/>
        <v>-78.067670877993805</v>
      </c>
      <c r="ER22" s="27"/>
      <c r="ES22" s="3">
        <v>15.758462000000002</v>
      </c>
      <c r="ET22" s="3">
        <v>27.628351200000001</v>
      </c>
      <c r="EU22" s="3">
        <v>40.740884000000001</v>
      </c>
      <c r="EV22" s="3">
        <v>59.810644000000003</v>
      </c>
      <c r="EW22" s="3">
        <v>75.014632000000006</v>
      </c>
      <c r="EX22" s="3">
        <v>91.006284000000008</v>
      </c>
      <c r="EY22" s="3">
        <v>124.31825280000001</v>
      </c>
      <c r="EZ22" s="3">
        <v>143.45537880000001</v>
      </c>
      <c r="FA22" s="3">
        <v>422.43664000000001</v>
      </c>
      <c r="FB22" s="3">
        <v>478.68206800000002</v>
      </c>
      <c r="FC22" s="32">
        <v>68.752366666666674</v>
      </c>
      <c r="FD22" s="16">
        <v>66.252292761760117</v>
      </c>
    </row>
    <row r="23" spans="3:160" ht="16" x14ac:dyDescent="0.2">
      <c r="C23" s="7" t="s">
        <v>19</v>
      </c>
      <c r="D23" s="3">
        <v>19</v>
      </c>
      <c r="E23" s="3">
        <v>39.098300000000002</v>
      </c>
      <c r="F23" s="3">
        <v>2.0699999999999998</v>
      </c>
      <c r="G23" s="3">
        <v>0.82</v>
      </c>
      <c r="H23" s="3">
        <v>0.89</v>
      </c>
      <c r="I23" s="3">
        <v>336.53</v>
      </c>
      <c r="J23" s="3">
        <v>1032</v>
      </c>
      <c r="K23" s="28">
        <v>18.408000000000001</v>
      </c>
      <c r="L23" s="28">
        <v>15.55</v>
      </c>
      <c r="M23" s="28">
        <v>14.302666666666667</v>
      </c>
      <c r="N23" s="28">
        <v>10.601000000000001</v>
      </c>
      <c r="O23" s="28">
        <v>8.6986666666666679</v>
      </c>
      <c r="P23" s="28"/>
      <c r="Q23" s="28">
        <v>4.593</v>
      </c>
      <c r="R23"/>
      <c r="S23"/>
      <c r="T23"/>
      <c r="U23"/>
      <c r="V23"/>
      <c r="W23"/>
      <c r="X23"/>
      <c r="Y23"/>
      <c r="Z23"/>
      <c r="AA23"/>
      <c r="AB23"/>
      <c r="AC23"/>
      <c r="AD23" s="23"/>
      <c r="AE23" s="23"/>
      <c r="AF23" s="23"/>
      <c r="AG23" s="23"/>
      <c r="AH23" s="23"/>
      <c r="AI23" s="23"/>
      <c r="AJ23" s="3">
        <v>18.548785945213023</v>
      </c>
      <c r="AK23" s="3">
        <v>15.143249688744049</v>
      </c>
      <c r="AL23" s="3">
        <v>14.824149316999357</v>
      </c>
      <c r="AM23" s="3">
        <v>9.3111110038765048</v>
      </c>
      <c r="AN23" s="3">
        <v>8.3174675567217911</v>
      </c>
      <c r="AO23" s="3">
        <v>2.9279296449270129</v>
      </c>
      <c r="AP23" s="24">
        <v>2.8036999999999996</v>
      </c>
      <c r="AQ23" s="24">
        <v>16.769300000000001</v>
      </c>
      <c r="AR23" s="24">
        <v>13.930333333333335</v>
      </c>
      <c r="AS23" s="24">
        <v>56.973299999999995</v>
      </c>
      <c r="AT23" s="24">
        <v>61.469799999999992</v>
      </c>
      <c r="AU23" s="24"/>
      <c r="AV23" s="24">
        <v>228.9512</v>
      </c>
      <c r="AW23" s="25"/>
      <c r="AX23" s="24"/>
      <c r="AY23" s="24"/>
      <c r="AZ23" s="25"/>
      <c r="BA23" s="25"/>
      <c r="BB23" s="25"/>
      <c r="BC23" s="25"/>
      <c r="BD23" s="25"/>
      <c r="BE23" s="25"/>
      <c r="BF23" s="25"/>
      <c r="BG23" s="25"/>
      <c r="BH23" s="25"/>
      <c r="BI23" s="16">
        <v>2.8519386743827382</v>
      </c>
      <c r="BJ23" s="16">
        <v>13.973222680022367</v>
      </c>
      <c r="BK23" s="16">
        <v>14.274006249879788</v>
      </c>
      <c r="BL23" s="16">
        <v>51.132458822774723</v>
      </c>
      <c r="BM23" s="16">
        <v>57.240980713563246</v>
      </c>
      <c r="BN23" s="16">
        <v>289.07798432468792</v>
      </c>
      <c r="BO23" s="3">
        <v>234</v>
      </c>
      <c r="BP23" s="3">
        <v>273</v>
      </c>
      <c r="BQ23" s="3">
        <v>227</v>
      </c>
      <c r="BR23" s="3">
        <v>203</v>
      </c>
      <c r="BS23" s="3">
        <v>243.00000000000003</v>
      </c>
      <c r="BT23" s="3">
        <v>332</v>
      </c>
      <c r="BU23" s="3">
        <v>355.98</v>
      </c>
      <c r="BV23" s="3">
        <v>4723.8899789999996</v>
      </c>
      <c r="BW23" s="3">
        <v>789.37990520000005</v>
      </c>
      <c r="BX23" s="3">
        <v>749.59066689999997</v>
      </c>
      <c r="BY23" s="3">
        <v>132.30271160000001</v>
      </c>
      <c r="BZ23" s="3">
        <v>104.77746076666666</v>
      </c>
      <c r="CB23" s="3">
        <v>7.2839396939999999</v>
      </c>
      <c r="CO23" s="3">
        <v>4681.124291424243</v>
      </c>
      <c r="CP23" s="3">
        <v>780.00496796321033</v>
      </c>
      <c r="CQ23" s="3">
        <v>747.47860059742243</v>
      </c>
      <c r="CR23" s="3">
        <v>131.06287564057001</v>
      </c>
      <c r="CS23" s="3">
        <v>104.58247495081939</v>
      </c>
      <c r="CT23" s="3">
        <v>7.2898817677927941</v>
      </c>
      <c r="CU23" s="3">
        <f t="shared" si="0"/>
        <v>-9447.7799579999992</v>
      </c>
      <c r="CV23" s="3">
        <f t="shared" si="4"/>
        <v>-1578.7598104000001</v>
      </c>
      <c r="CW23" s="3">
        <f t="shared" si="8"/>
        <v>-1499.1813337999999</v>
      </c>
      <c r="CX23" s="3">
        <f t="shared" si="12"/>
        <v>-264.60542320000002</v>
      </c>
      <c r="CY23" s="3">
        <f t="shared" si="16"/>
        <v>-209.55492153333333</v>
      </c>
      <c r="DA23" s="3">
        <f t="shared" ref="DA23:DA69" si="20">-2*CB23</f>
        <v>-14.567879388</v>
      </c>
      <c r="DN23" s="3">
        <f t="shared" si="1"/>
        <v>-9362.248582848486</v>
      </c>
      <c r="DO23" s="3">
        <f t="shared" si="5"/>
        <v>-1560.0099359264207</v>
      </c>
      <c r="DP23" s="3">
        <f t="shared" si="9"/>
        <v>-1494.9572011948449</v>
      </c>
      <c r="DQ23" s="3">
        <f t="shared" si="13"/>
        <v>-262.12575128114003</v>
      </c>
      <c r="DR23" s="3">
        <f t="shared" si="17"/>
        <v>-209.16494990163878</v>
      </c>
      <c r="DS23" s="3">
        <f t="shared" ref="DS23:DS24" si="21">-2*CT23</f>
        <v>-14.579763535585588</v>
      </c>
      <c r="DT23" s="3">
        <f t="shared" si="2"/>
        <v>-4723.8899789999996</v>
      </c>
      <c r="DU23" s="3">
        <f t="shared" si="6"/>
        <v>-789.37990520000005</v>
      </c>
      <c r="DV23" s="3">
        <f t="shared" si="10"/>
        <v>-749.59066689999997</v>
      </c>
      <c r="DW23" s="3">
        <f t="shared" si="14"/>
        <v>-132.30271160000001</v>
      </c>
      <c r="DX23" s="3">
        <f t="shared" si="18"/>
        <v>-104.77746076666666</v>
      </c>
      <c r="DZ23" s="3">
        <f t="shared" ref="DZ23:DZ54" si="22">-1*CB23</f>
        <v>-7.2839396939999999</v>
      </c>
      <c r="EM23" s="27">
        <f t="shared" si="3"/>
        <v>-4681.124291424243</v>
      </c>
      <c r="EN23" s="27">
        <f t="shared" si="7"/>
        <v>-780.00496796321033</v>
      </c>
      <c r="EO23" s="27">
        <f t="shared" si="11"/>
        <v>-747.47860059742243</v>
      </c>
      <c r="EP23" s="27">
        <f t="shared" si="15"/>
        <v>-131.06287564057001</v>
      </c>
      <c r="EQ23" s="27">
        <f t="shared" si="19"/>
        <v>-104.58247495081939</v>
      </c>
      <c r="ER23" s="27">
        <f t="shared" ref="ER23:ER24" si="23">-1*CT23</f>
        <v>-7.2898817677927941</v>
      </c>
      <c r="ES23" s="3">
        <v>4.3414796000000004</v>
      </c>
      <c r="ET23" s="3">
        <v>31.624709600000003</v>
      </c>
      <c r="EU23" s="3">
        <v>45.715603999999999</v>
      </c>
      <c r="EV23" s="3">
        <v>60.909227999999999</v>
      </c>
      <c r="EW23" s="3">
        <v>82.663264000000012</v>
      </c>
      <c r="EX23" s="3">
        <v>100.002236</v>
      </c>
      <c r="EY23" s="3">
        <v>117.558852</v>
      </c>
      <c r="EZ23" s="3">
        <v>154.85888800000001</v>
      </c>
      <c r="FA23" s="3">
        <v>175.814896</v>
      </c>
      <c r="FB23" s="3">
        <v>503.44166400000006</v>
      </c>
      <c r="FC23" s="32">
        <v>228.9512</v>
      </c>
      <c r="FD23" s="16">
        <v>289.07798432468792</v>
      </c>
    </row>
    <row r="24" spans="3:160" ht="16" x14ac:dyDescent="0.2">
      <c r="C24" s="7" t="s">
        <v>20</v>
      </c>
      <c r="D24" s="3">
        <v>20</v>
      </c>
      <c r="E24" s="3">
        <v>40.078000000000003</v>
      </c>
      <c r="F24" s="3">
        <v>2.2000000000000002</v>
      </c>
      <c r="G24" s="3">
        <v>1</v>
      </c>
      <c r="H24" s="3">
        <v>1.54</v>
      </c>
      <c r="I24" s="3">
        <v>1115</v>
      </c>
      <c r="J24" s="3">
        <v>1757</v>
      </c>
      <c r="K24" s="28">
        <v>19.399999999999999</v>
      </c>
      <c r="L24" s="28">
        <v>16.53</v>
      </c>
      <c r="M24" s="28">
        <v>15.290000000000001</v>
      </c>
      <c r="N24" s="28">
        <v>11.677</v>
      </c>
      <c r="O24" s="28">
        <v>9.8063333333333329</v>
      </c>
      <c r="P24" s="28"/>
      <c r="Q24" s="28">
        <v>5.7089999999999996</v>
      </c>
      <c r="R24"/>
      <c r="S24"/>
      <c r="T24" s="28"/>
      <c r="U24"/>
      <c r="V24"/>
      <c r="W24"/>
      <c r="X24"/>
      <c r="Y24"/>
      <c r="Z24"/>
      <c r="AA24"/>
      <c r="AB24"/>
      <c r="AC24"/>
      <c r="AD24" s="23"/>
      <c r="AE24" s="23"/>
      <c r="AF24" s="23"/>
      <c r="AG24" s="23"/>
      <c r="AH24" s="23"/>
      <c r="AI24" s="23"/>
      <c r="AJ24" s="3">
        <v>19.543322254777156</v>
      </c>
      <c r="AK24" s="3">
        <v>16.117694049592149</v>
      </c>
      <c r="AL24" s="3">
        <v>15.81053667295622</v>
      </c>
      <c r="AM24" s="3">
        <v>10.354010192346426</v>
      </c>
      <c r="AN24" s="3">
        <v>9.4071217210443336</v>
      </c>
      <c r="AO24" s="3">
        <v>3.9642379852586771</v>
      </c>
      <c r="AP24" s="24">
        <v>2.645</v>
      </c>
      <c r="AQ24" s="24">
        <v>15.817099999999998</v>
      </c>
      <c r="AR24" s="24">
        <v>13.083933333333333</v>
      </c>
      <c r="AS24" s="24">
        <v>52.476799999999997</v>
      </c>
      <c r="AT24" s="24">
        <v>55.650800000000004</v>
      </c>
      <c r="AU24" s="24"/>
      <c r="AV24" s="24">
        <v>183.1927</v>
      </c>
      <c r="AW24" s="25"/>
      <c r="AX24" s="24"/>
      <c r="AY24" s="24"/>
      <c r="AZ24" s="25"/>
      <c r="BA24" s="25"/>
      <c r="BB24" s="25"/>
      <c r="BC24" s="25"/>
      <c r="BD24" s="25"/>
      <c r="BE24" s="25"/>
      <c r="BF24" s="25"/>
      <c r="BG24" s="25"/>
      <c r="BH24" s="25"/>
      <c r="BI24" s="16">
        <v>2.7068069241435735</v>
      </c>
      <c r="BJ24" s="16">
        <v>13.128428877538747</v>
      </c>
      <c r="BK24" s="16">
        <v>13.383479914501567</v>
      </c>
      <c r="BL24" s="16">
        <v>45.982183825927471</v>
      </c>
      <c r="BM24" s="16">
        <v>50.610592072486298</v>
      </c>
      <c r="BN24" s="16">
        <v>213.50887690078227</v>
      </c>
      <c r="BO24" s="3">
        <v>270</v>
      </c>
      <c r="BP24" s="3">
        <v>262</v>
      </c>
      <c r="BQ24" s="3">
        <v>197</v>
      </c>
      <c r="BR24" s="3">
        <v>176</v>
      </c>
      <c r="BS24" s="3">
        <v>194</v>
      </c>
      <c r="BT24" s="3">
        <v>256</v>
      </c>
      <c r="BU24" s="3">
        <v>274.79000000000002</v>
      </c>
      <c r="BV24" s="3">
        <v>5249.4258849999997</v>
      </c>
      <c r="BW24" s="3">
        <v>895.44070929999998</v>
      </c>
      <c r="BX24" s="3">
        <v>853.04005793333329</v>
      </c>
      <c r="BY24" s="3">
        <v>163.83588090000001</v>
      </c>
      <c r="BZ24" s="3">
        <v>134.06530813333333</v>
      </c>
      <c r="CB24" s="3">
        <v>13.39767559</v>
      </c>
      <c r="CO24" s="3">
        <v>5196.5604080351959</v>
      </c>
      <c r="CP24" s="3">
        <v>883.61894264558885</v>
      </c>
      <c r="CQ24" s="3">
        <v>850.26132663193425</v>
      </c>
      <c r="CR24" s="3">
        <v>162.06672663541642</v>
      </c>
      <c r="CS24" s="3">
        <v>133.77969798542784</v>
      </c>
      <c r="CT24" s="3">
        <v>13.363451696057622</v>
      </c>
      <c r="CU24" s="3">
        <f t="shared" si="0"/>
        <v>-10498.851769999999</v>
      </c>
      <c r="CV24" s="3">
        <f t="shared" si="4"/>
        <v>-1790.8814186</v>
      </c>
      <c r="CW24" s="3">
        <f t="shared" si="8"/>
        <v>-1706.0801158666666</v>
      </c>
      <c r="CX24" s="3">
        <f t="shared" si="12"/>
        <v>-327.67176180000001</v>
      </c>
      <c r="CY24" s="3">
        <f t="shared" si="16"/>
        <v>-268.13061626666666</v>
      </c>
      <c r="DA24" s="3">
        <f t="shared" si="20"/>
        <v>-26.795351180000001</v>
      </c>
      <c r="DN24" s="3">
        <f t="shared" si="1"/>
        <v>-10393.120816070392</v>
      </c>
      <c r="DO24" s="3">
        <f t="shared" si="5"/>
        <v>-1767.2378852911777</v>
      </c>
      <c r="DP24" s="3">
        <f t="shared" si="9"/>
        <v>-1700.5226532638685</v>
      </c>
      <c r="DQ24" s="3">
        <f t="shared" si="13"/>
        <v>-324.13345327083283</v>
      </c>
      <c r="DR24" s="3">
        <f t="shared" si="17"/>
        <v>-267.55939597085569</v>
      </c>
      <c r="DS24" s="3">
        <f t="shared" si="21"/>
        <v>-26.726903392115243</v>
      </c>
      <c r="DT24" s="3">
        <f t="shared" si="2"/>
        <v>-5249.4258849999997</v>
      </c>
      <c r="DU24" s="3">
        <f t="shared" si="6"/>
        <v>-895.44070929999998</v>
      </c>
      <c r="DV24" s="3">
        <f t="shared" si="10"/>
        <v>-853.04005793333329</v>
      </c>
      <c r="DW24" s="3">
        <f t="shared" si="14"/>
        <v>-163.83588090000001</v>
      </c>
      <c r="DX24" s="3">
        <f t="shared" si="18"/>
        <v>-134.06530813333333</v>
      </c>
      <c r="DZ24" s="3">
        <f t="shared" si="22"/>
        <v>-13.39767559</v>
      </c>
      <c r="EM24" s="27">
        <f t="shared" si="3"/>
        <v>-5196.5604080351959</v>
      </c>
      <c r="EN24" s="27">
        <f t="shared" si="7"/>
        <v>-883.61894264558885</v>
      </c>
      <c r="EO24" s="27">
        <f t="shared" si="11"/>
        <v>-850.26132663193425</v>
      </c>
      <c r="EP24" s="27">
        <f t="shared" si="15"/>
        <v>-162.06672663541642</v>
      </c>
      <c r="EQ24" s="27">
        <f t="shared" si="19"/>
        <v>-133.77969798542784</v>
      </c>
      <c r="ER24" s="27">
        <f t="shared" si="23"/>
        <v>-13.363451696057622</v>
      </c>
      <c r="ES24" s="3">
        <v>6.1126872000000008</v>
      </c>
      <c r="ET24" s="3">
        <v>11.870925600000001</v>
      </c>
      <c r="EU24" s="3">
        <v>50.907968000000004</v>
      </c>
      <c r="EV24" s="3">
        <v>67.096536</v>
      </c>
      <c r="EW24" s="3">
        <v>84.404416000000012</v>
      </c>
      <c r="EX24" s="3">
        <v>108.78054400000001</v>
      </c>
      <c r="EY24" s="3">
        <v>127.68448000000001</v>
      </c>
      <c r="EZ24" s="3">
        <v>147.24134800000002</v>
      </c>
      <c r="FA24" s="3">
        <v>188.54188800000003</v>
      </c>
      <c r="FB24" s="3">
        <v>211.26910359999999</v>
      </c>
      <c r="FC24" s="32">
        <v>183.1927</v>
      </c>
      <c r="FD24" s="16">
        <v>213.50887690078227</v>
      </c>
    </row>
    <row r="25" spans="3:160" ht="16" x14ac:dyDescent="0.2">
      <c r="C25" s="7" t="s">
        <v>21</v>
      </c>
      <c r="D25" s="3">
        <v>21</v>
      </c>
      <c r="E25" s="3">
        <v>44.955907000000003</v>
      </c>
      <c r="F25" s="3">
        <v>2.35</v>
      </c>
      <c r="G25" s="3">
        <v>1.36</v>
      </c>
      <c r="H25" s="3">
        <v>2.99</v>
      </c>
      <c r="I25" s="3">
        <v>1814</v>
      </c>
      <c r="J25" s="3">
        <v>3109</v>
      </c>
      <c r="K25" s="28">
        <v>20.393999999999998</v>
      </c>
      <c r="L25" s="28">
        <v>17.510000000000002</v>
      </c>
      <c r="M25" s="28">
        <v>16.275666666666666</v>
      </c>
      <c r="N25" s="28">
        <v>12.548999999999999</v>
      </c>
      <c r="O25" s="28">
        <v>10.646333333333333</v>
      </c>
      <c r="P25" s="28">
        <v>6.2160000000000002</v>
      </c>
      <c r="Q25" s="28">
        <v>6.09</v>
      </c>
      <c r="R25"/>
      <c r="S25"/>
      <c r="T25" s="28"/>
      <c r="U25"/>
      <c r="V25"/>
      <c r="W25"/>
      <c r="X25"/>
      <c r="Y25"/>
      <c r="Z25"/>
      <c r="AA25"/>
      <c r="AB25"/>
      <c r="AC25"/>
      <c r="AD25" s="23"/>
      <c r="AE25" s="23"/>
      <c r="AF25" s="23"/>
      <c r="AG25" s="23"/>
      <c r="AH25" s="23"/>
      <c r="AI25" s="23"/>
      <c r="AP25" s="24">
        <v>2.5392000000000001</v>
      </c>
      <c r="AQ25" s="24">
        <v>14.970699999999999</v>
      </c>
      <c r="AR25" s="24">
        <v>12.290433333333334</v>
      </c>
      <c r="AS25" s="24">
        <v>48.932500000000005</v>
      </c>
      <c r="AT25" s="24">
        <v>51.436433333333326</v>
      </c>
      <c r="AU25" s="24">
        <v>59.512499999999996</v>
      </c>
      <c r="AV25" s="24">
        <v>170.65539999999999</v>
      </c>
      <c r="AW25" s="24"/>
      <c r="AX25" s="25"/>
      <c r="AY25" s="24"/>
      <c r="AZ25" s="25"/>
      <c r="BA25" s="25"/>
      <c r="BB25" s="25"/>
      <c r="BC25" s="25"/>
      <c r="BD25" s="25"/>
      <c r="BE25" s="25"/>
      <c r="BF25" s="25"/>
      <c r="BG25" s="25"/>
      <c r="BH25" s="25"/>
      <c r="BO25" s="3">
        <v>263</v>
      </c>
      <c r="BP25" s="3">
        <v>258</v>
      </c>
      <c r="BQ25" s="3">
        <v>162</v>
      </c>
      <c r="BR25" s="3">
        <v>170</v>
      </c>
      <c r="BS25" s="3">
        <v>184</v>
      </c>
      <c r="BV25" s="3">
        <v>5804.1718510000001</v>
      </c>
      <c r="BW25" s="3">
        <v>1008.582732</v>
      </c>
      <c r="BX25" s="3">
        <v>963.49091993333332</v>
      </c>
      <c r="BY25" s="3">
        <v>192.05430100000001</v>
      </c>
      <c r="BZ25" s="3">
        <v>159.451629</v>
      </c>
      <c r="CA25" s="3">
        <v>82.735589489999995</v>
      </c>
      <c r="CB25" s="3">
        <v>15.474525420000001</v>
      </c>
      <c r="CU25" s="3">
        <f t="shared" si="0"/>
        <v>-11608.343702</v>
      </c>
      <c r="CV25" s="3">
        <f t="shared" si="4"/>
        <v>-2017.1654639999999</v>
      </c>
      <c r="CW25" s="3">
        <f t="shared" si="8"/>
        <v>-1926.9818398666666</v>
      </c>
      <c r="CX25" s="3">
        <f t="shared" si="12"/>
        <v>-384.10860200000002</v>
      </c>
      <c r="CY25" s="3">
        <f t="shared" si="16"/>
        <v>-318.90325799999999</v>
      </c>
      <c r="CZ25" s="3">
        <f t="shared" ref="CZ25:CZ69" si="24">-2*CA25</f>
        <v>-165.47117897999999</v>
      </c>
      <c r="DA25" s="3">
        <f t="shared" si="20"/>
        <v>-30.949050840000002</v>
      </c>
      <c r="DT25" s="3">
        <f t="shared" si="2"/>
        <v>-5804.1718510000001</v>
      </c>
      <c r="DU25" s="3">
        <f t="shared" si="6"/>
        <v>-1008.582732</v>
      </c>
      <c r="DV25" s="3">
        <f t="shared" si="10"/>
        <v>-963.49091993333332</v>
      </c>
      <c r="DW25" s="3">
        <f t="shared" si="14"/>
        <v>-192.05430100000001</v>
      </c>
      <c r="DX25" s="3">
        <f t="shared" si="18"/>
        <v>-159.451629</v>
      </c>
      <c r="DY25" s="3">
        <f t="shared" ref="DY25:DY56" si="25">-1*CA25</f>
        <v>-82.735589489999995</v>
      </c>
      <c r="DZ25" s="3">
        <f t="shared" si="22"/>
        <v>-15.474525420000001</v>
      </c>
      <c r="ES25" s="3">
        <v>6.5396840000000003</v>
      </c>
      <c r="ET25" s="3">
        <v>12.799540000000002</v>
      </c>
      <c r="EU25" s="3">
        <v>24.759595999999998</v>
      </c>
      <c r="EV25" s="3">
        <v>73.470396000000008</v>
      </c>
      <c r="EW25" s="3">
        <v>91.659216000000001</v>
      </c>
      <c r="EX25" s="3">
        <v>111.10208000000002</v>
      </c>
      <c r="EY25" s="3">
        <v>138.04848000000001</v>
      </c>
      <c r="EZ25" s="3">
        <v>158.67284000000001</v>
      </c>
      <c r="FA25" s="3">
        <v>180.02268000000004</v>
      </c>
      <c r="FB25" s="3">
        <v>225.32372400000003</v>
      </c>
      <c r="FC25" s="32">
        <v>170.65539999999999</v>
      </c>
      <c r="FD25" s="16"/>
    </row>
    <row r="26" spans="3:160" ht="16" x14ac:dyDescent="0.2">
      <c r="C26" s="7" t="s">
        <v>22</v>
      </c>
      <c r="D26" s="3">
        <v>22</v>
      </c>
      <c r="E26" s="3">
        <v>47.866999999999997</v>
      </c>
      <c r="F26" s="3">
        <v>2.23</v>
      </c>
      <c r="G26" s="3">
        <v>1.54</v>
      </c>
      <c r="H26" s="3">
        <v>4.5</v>
      </c>
      <c r="I26" s="3">
        <v>1941</v>
      </c>
      <c r="J26" s="3">
        <v>3560</v>
      </c>
      <c r="K26" s="28">
        <v>21.388000000000002</v>
      </c>
      <c r="L26" s="28">
        <v>18.489999999999998</v>
      </c>
      <c r="M26" s="28">
        <v>17.257999999999999</v>
      </c>
      <c r="N26" s="28">
        <v>13.377000000000001</v>
      </c>
      <c r="O26" s="28">
        <v>11.433666666666667</v>
      </c>
      <c r="P26" s="28">
        <v>7.1418000000000008</v>
      </c>
      <c r="Q26" s="28">
        <v>6.3879999999999999</v>
      </c>
      <c r="R26" s="28"/>
      <c r="S26"/>
      <c r="T26" s="28"/>
      <c r="U26"/>
      <c r="V26"/>
      <c r="W26"/>
      <c r="X26"/>
      <c r="Y26"/>
      <c r="Z26"/>
      <c r="AA26"/>
      <c r="AB26"/>
      <c r="AC26"/>
      <c r="AD26" s="23"/>
      <c r="AE26" s="23"/>
      <c r="AF26" s="23"/>
      <c r="AG26" s="23"/>
      <c r="AH26" s="23"/>
      <c r="AI26" s="23"/>
      <c r="AP26" s="24">
        <v>2.4333999999999998</v>
      </c>
      <c r="AQ26" s="24">
        <v>14.177200000000001</v>
      </c>
      <c r="AR26" s="24">
        <v>11.655633333333334</v>
      </c>
      <c r="AS26" s="24">
        <v>45.970099999999995</v>
      </c>
      <c r="AT26" s="24">
        <v>47.9803</v>
      </c>
      <c r="AU26" s="24">
        <v>52.804779999999994</v>
      </c>
      <c r="AV26" s="24">
        <v>161.6095</v>
      </c>
      <c r="AW26" s="24"/>
      <c r="AX26" s="24"/>
      <c r="AY26" s="24"/>
      <c r="AZ26" s="24"/>
      <c r="BA26" s="25"/>
      <c r="BB26" s="25"/>
      <c r="BC26" s="25"/>
      <c r="BD26" s="25"/>
      <c r="BE26" s="25"/>
      <c r="BF26" s="25"/>
      <c r="BG26" s="25"/>
      <c r="BH26" s="25"/>
      <c r="BO26" s="3">
        <v>257</v>
      </c>
      <c r="BP26" s="3">
        <v>246</v>
      </c>
      <c r="BQ26" s="3">
        <v>147</v>
      </c>
      <c r="BR26" s="3">
        <v>160</v>
      </c>
      <c r="BS26" s="3">
        <v>176</v>
      </c>
      <c r="BV26" s="3">
        <v>6388.0731809999997</v>
      </c>
      <c r="BW26" s="3">
        <v>1128.573723</v>
      </c>
      <c r="BX26" s="3">
        <v>1080.5488330000001</v>
      </c>
      <c r="BY26" s="3">
        <v>220.84436410000001</v>
      </c>
      <c r="BZ26" s="3">
        <v>185.29454603333332</v>
      </c>
      <c r="CA26" s="3">
        <v>105.87728124</v>
      </c>
      <c r="CB26" s="3">
        <v>17.03926761</v>
      </c>
      <c r="CU26" s="3">
        <f t="shared" si="0"/>
        <v>-12776.146361999999</v>
      </c>
      <c r="CV26" s="3">
        <f t="shared" si="4"/>
        <v>-2257.1474459999999</v>
      </c>
      <c r="CW26" s="3">
        <f t="shared" si="8"/>
        <v>-2161.0976660000001</v>
      </c>
      <c r="CX26" s="3">
        <f t="shared" si="12"/>
        <v>-441.68872820000001</v>
      </c>
      <c r="CY26" s="3">
        <f t="shared" si="16"/>
        <v>-370.58909206666664</v>
      </c>
      <c r="CZ26" s="3">
        <f t="shared" si="24"/>
        <v>-211.75456248</v>
      </c>
      <c r="DA26" s="3">
        <f t="shared" si="20"/>
        <v>-34.078535219999999</v>
      </c>
      <c r="DT26" s="3">
        <f t="shared" si="2"/>
        <v>-6388.0731809999997</v>
      </c>
      <c r="DU26" s="3">
        <f t="shared" si="6"/>
        <v>-1128.573723</v>
      </c>
      <c r="DV26" s="3">
        <f t="shared" si="10"/>
        <v>-1080.5488330000001</v>
      </c>
      <c r="DW26" s="3">
        <f t="shared" si="14"/>
        <v>-220.84436410000001</v>
      </c>
      <c r="DX26" s="3">
        <f t="shared" si="18"/>
        <v>-185.29454603333332</v>
      </c>
      <c r="DY26" s="3">
        <f t="shared" si="25"/>
        <v>-105.87728124</v>
      </c>
      <c r="DZ26" s="3">
        <f t="shared" si="22"/>
        <v>-17.03926761</v>
      </c>
      <c r="ES26" s="3">
        <v>6.8195120000000005</v>
      </c>
      <c r="ET26" s="3">
        <v>13.576840000000001</v>
      </c>
      <c r="EU26" s="3">
        <v>27.49051</v>
      </c>
      <c r="EV26" s="3">
        <v>43.265554399999999</v>
      </c>
      <c r="EW26" s="3">
        <v>99.214572000000018</v>
      </c>
      <c r="EX26" s="3">
        <v>119.362188</v>
      </c>
      <c r="EY26" s="3">
        <v>140.84676000000002</v>
      </c>
      <c r="EZ26" s="3">
        <v>168.51864000000003</v>
      </c>
      <c r="FA26" s="3">
        <v>193.18496000000002</v>
      </c>
      <c r="FB26" s="3">
        <v>215.91321199999999</v>
      </c>
      <c r="FC26" s="32">
        <v>161.6095</v>
      </c>
      <c r="FD26" s="16"/>
    </row>
    <row r="27" spans="3:160" ht="16" x14ac:dyDescent="0.2">
      <c r="C27" s="7" t="s">
        <v>23</v>
      </c>
      <c r="D27" s="3">
        <v>23</v>
      </c>
      <c r="E27" s="3">
        <v>50.941499999999998</v>
      </c>
      <c r="F27" s="3">
        <v>2.08</v>
      </c>
      <c r="G27" s="3">
        <v>1.63</v>
      </c>
      <c r="H27" s="3">
        <v>6</v>
      </c>
      <c r="I27" s="3">
        <v>2183</v>
      </c>
      <c r="J27" s="3">
        <v>3680</v>
      </c>
      <c r="K27" s="28">
        <v>22.382000000000001</v>
      </c>
      <c r="L27" s="28">
        <v>19.468</v>
      </c>
      <c r="M27" s="28">
        <v>18.238</v>
      </c>
      <c r="N27" s="28">
        <v>14.189</v>
      </c>
      <c r="O27" s="28">
        <v>12.202333333333334</v>
      </c>
      <c r="P27" s="28">
        <v>7.8686000000000007</v>
      </c>
      <c r="Q27" s="28">
        <v>6.6639999999999997</v>
      </c>
      <c r="R27" s="28"/>
      <c r="S27" s="28"/>
      <c r="T27" s="28"/>
      <c r="U27"/>
      <c r="V27"/>
      <c r="W27"/>
      <c r="X27"/>
      <c r="Y27"/>
      <c r="Z27"/>
      <c r="AA27"/>
      <c r="AB27"/>
      <c r="AC27"/>
      <c r="AD27" s="23"/>
      <c r="AE27" s="23"/>
      <c r="AF27" s="23"/>
      <c r="AG27" s="23"/>
      <c r="AH27" s="23"/>
      <c r="AI27" s="23"/>
      <c r="AP27" s="24">
        <v>2.3275999999999999</v>
      </c>
      <c r="AQ27" s="24">
        <v>13.4895</v>
      </c>
      <c r="AR27" s="24">
        <v>11.020833333333334</v>
      </c>
      <c r="AS27" s="24">
        <v>43.325099999999999</v>
      </c>
      <c r="AT27" s="24">
        <v>44.982633333333332</v>
      </c>
      <c r="AU27" s="24">
        <v>47.969720000000009</v>
      </c>
      <c r="AV27" s="24">
        <v>154.04479999999998</v>
      </c>
      <c r="AW27" s="24"/>
      <c r="AX27" s="24"/>
      <c r="AY27" s="24"/>
      <c r="AZ27" s="24"/>
      <c r="BA27" s="25"/>
      <c r="BB27" s="25"/>
      <c r="BC27" s="25"/>
      <c r="BD27" s="25"/>
      <c r="BE27" s="25"/>
      <c r="BF27" s="25"/>
      <c r="BG27" s="25"/>
      <c r="BH27" s="25"/>
      <c r="BO27" s="3">
        <v>252</v>
      </c>
      <c r="BP27" s="3">
        <v>242</v>
      </c>
      <c r="BQ27" s="3">
        <v>134</v>
      </c>
      <c r="BR27" s="3">
        <v>153</v>
      </c>
      <c r="BS27" s="3">
        <v>171</v>
      </c>
      <c r="BV27" s="3">
        <v>7001.2958660000004</v>
      </c>
      <c r="BW27" s="3">
        <v>1255.459427</v>
      </c>
      <c r="BX27" s="3">
        <v>1204.2262956666666</v>
      </c>
      <c r="BY27" s="3">
        <v>250.93340900000001</v>
      </c>
      <c r="BZ27" s="3">
        <v>212.37767900000003</v>
      </c>
      <c r="CA27" s="3">
        <v>127.71722337999999</v>
      </c>
      <c r="CB27" s="3">
        <v>18.51072319</v>
      </c>
      <c r="CU27" s="3">
        <f t="shared" si="0"/>
        <v>-14002.591732000001</v>
      </c>
      <c r="CV27" s="3">
        <f t="shared" si="4"/>
        <v>-2510.918854</v>
      </c>
      <c r="CW27" s="3">
        <f t="shared" si="8"/>
        <v>-2408.4525913333332</v>
      </c>
      <c r="CX27" s="3">
        <f t="shared" si="12"/>
        <v>-501.86681800000002</v>
      </c>
      <c r="CY27" s="3">
        <f t="shared" si="16"/>
        <v>-424.75535800000006</v>
      </c>
      <c r="CZ27" s="3">
        <f t="shared" si="24"/>
        <v>-255.43444675999999</v>
      </c>
      <c r="DA27" s="3">
        <f t="shared" si="20"/>
        <v>-37.02144638</v>
      </c>
      <c r="DT27" s="3">
        <f t="shared" si="2"/>
        <v>-7001.2958660000004</v>
      </c>
      <c r="DU27" s="3">
        <f t="shared" si="6"/>
        <v>-1255.459427</v>
      </c>
      <c r="DV27" s="3">
        <f t="shared" si="10"/>
        <v>-1204.2262956666666</v>
      </c>
      <c r="DW27" s="3">
        <f t="shared" si="14"/>
        <v>-250.93340900000001</v>
      </c>
      <c r="DX27" s="3">
        <f t="shared" si="18"/>
        <v>-212.37767900000003</v>
      </c>
      <c r="DY27" s="3">
        <f t="shared" si="25"/>
        <v>-127.71722337999999</v>
      </c>
      <c r="DZ27" s="3">
        <f t="shared" si="22"/>
        <v>-18.51072319</v>
      </c>
      <c r="ES27" s="3">
        <v>6.736600000000001</v>
      </c>
      <c r="ET27" s="3">
        <v>14.654696</v>
      </c>
      <c r="EU27" s="3">
        <v>29.309391999999999</v>
      </c>
      <c r="EV27" s="3">
        <v>46.706402400000002</v>
      </c>
      <c r="EW27" s="3">
        <v>65.282836000000003</v>
      </c>
      <c r="EX27" s="3">
        <v>128.11976800000002</v>
      </c>
      <c r="EY27" s="3">
        <v>150.16399600000003</v>
      </c>
      <c r="EZ27" s="3">
        <v>173.70064000000002</v>
      </c>
      <c r="FA27" s="3">
        <v>205.82904000000002</v>
      </c>
      <c r="FB27" s="3">
        <v>230.49536000000001</v>
      </c>
      <c r="FC27" s="32">
        <v>154.04479999999998</v>
      </c>
      <c r="FD27" s="16"/>
    </row>
    <row r="28" spans="3:160" ht="16" x14ac:dyDescent="0.2">
      <c r="C28" s="7" t="s">
        <v>24</v>
      </c>
      <c r="D28" s="3">
        <v>24</v>
      </c>
      <c r="E28" s="3">
        <v>51.996099999999998</v>
      </c>
      <c r="F28" s="3">
        <v>2.12</v>
      </c>
      <c r="G28" s="3">
        <v>1.66</v>
      </c>
      <c r="H28" s="3">
        <v>7.15</v>
      </c>
      <c r="I28" s="3">
        <v>2180</v>
      </c>
      <c r="J28" s="3">
        <v>2944</v>
      </c>
      <c r="K28" s="28">
        <v>23.378</v>
      </c>
      <c r="L28" s="28">
        <v>20.446000000000002</v>
      </c>
      <c r="M28" s="28">
        <v>19.216666666666669</v>
      </c>
      <c r="N28" s="28">
        <v>14.875</v>
      </c>
      <c r="O28" s="28">
        <v>12.804</v>
      </c>
      <c r="P28" s="28">
        <v>7.6171999999999995</v>
      </c>
      <c r="Q28" s="28">
        <v>6.6150000000000002</v>
      </c>
      <c r="R28" s="28"/>
      <c r="S28" s="28"/>
      <c r="T28" s="28"/>
      <c r="U28"/>
      <c r="V28"/>
      <c r="W28"/>
      <c r="X28"/>
      <c r="Y28"/>
      <c r="Z28"/>
      <c r="AA28"/>
      <c r="AB28"/>
      <c r="AC28"/>
      <c r="AD28" s="23"/>
      <c r="AE28" s="23"/>
      <c r="AF28" s="23"/>
      <c r="AG28" s="23"/>
      <c r="AH28" s="23"/>
      <c r="AI28" s="23"/>
      <c r="AP28" s="24">
        <v>2.2218</v>
      </c>
      <c r="AQ28" s="24">
        <v>12.854699999999999</v>
      </c>
      <c r="AR28" s="24">
        <v>10.491833333333332</v>
      </c>
      <c r="AS28" s="24">
        <v>41.156199999999998</v>
      </c>
      <c r="AT28" s="24">
        <v>42.56686666666667</v>
      </c>
      <c r="AU28" s="24">
        <v>45.610379999999999</v>
      </c>
      <c r="AV28" s="24">
        <v>153.83320000000001</v>
      </c>
      <c r="AW28" s="24"/>
      <c r="AX28" s="24"/>
      <c r="AY28" s="24"/>
      <c r="AZ28" s="24"/>
      <c r="BA28" s="25"/>
      <c r="BB28" s="25"/>
      <c r="BC28" s="25"/>
      <c r="BD28" s="25"/>
      <c r="BE28" s="25"/>
      <c r="BF28" s="25"/>
      <c r="BG28" s="25"/>
      <c r="BH28" s="25"/>
      <c r="BO28" s="3">
        <v>233</v>
      </c>
      <c r="BP28" s="3">
        <v>245.00000000000003</v>
      </c>
      <c r="BQ28" s="3">
        <v>128</v>
      </c>
      <c r="BR28" s="3">
        <v>139</v>
      </c>
      <c r="BS28" s="3">
        <v>166</v>
      </c>
      <c r="BV28" s="3">
        <v>7644.2554239999999</v>
      </c>
      <c r="BW28" s="3">
        <v>1389.4426209999999</v>
      </c>
      <c r="BX28" s="3">
        <v>1334.8060986666667</v>
      </c>
      <c r="BY28" s="3">
        <v>278.01734829999998</v>
      </c>
      <c r="BZ28" s="3">
        <v>235.90802113333334</v>
      </c>
      <c r="CA28" s="3">
        <v>132.18058528</v>
      </c>
      <c r="CB28" s="3">
        <v>17.915562059999999</v>
      </c>
      <c r="CU28" s="3">
        <f t="shared" si="0"/>
        <v>-15288.510848</v>
      </c>
      <c r="CV28" s="3">
        <f t="shared" si="4"/>
        <v>-2778.8852419999998</v>
      </c>
      <c r="CW28" s="3">
        <f t="shared" si="8"/>
        <v>-2669.6121973333334</v>
      </c>
      <c r="CX28" s="3">
        <f t="shared" si="12"/>
        <v>-556.03469659999996</v>
      </c>
      <c r="CY28" s="3">
        <f t="shared" si="16"/>
        <v>-471.81604226666667</v>
      </c>
      <c r="CZ28" s="3">
        <f t="shared" si="24"/>
        <v>-264.36117056000001</v>
      </c>
      <c r="DA28" s="3">
        <f t="shared" si="20"/>
        <v>-35.831124119999998</v>
      </c>
      <c r="DT28" s="3">
        <f t="shared" si="2"/>
        <v>-7644.2554239999999</v>
      </c>
      <c r="DU28" s="3">
        <f t="shared" si="6"/>
        <v>-1389.4426209999999</v>
      </c>
      <c r="DV28" s="3">
        <f t="shared" si="10"/>
        <v>-1334.8060986666667</v>
      </c>
      <c r="DW28" s="3">
        <f t="shared" si="14"/>
        <v>-278.01734829999998</v>
      </c>
      <c r="DX28" s="3">
        <f t="shared" si="18"/>
        <v>-235.90802113333334</v>
      </c>
      <c r="DY28" s="3">
        <f t="shared" si="25"/>
        <v>-132.18058528</v>
      </c>
      <c r="DZ28" s="3">
        <f t="shared" si="22"/>
        <v>-17.915562059999999</v>
      </c>
      <c r="ES28" s="3">
        <v>6.7656192000000006</v>
      </c>
      <c r="ET28" s="3">
        <v>15.504544000000001</v>
      </c>
      <c r="EU28" s="3">
        <v>30.957268000000003</v>
      </c>
      <c r="EV28" s="3">
        <v>49.125360000000008</v>
      </c>
      <c r="EW28" s="3">
        <v>69.335160000000016</v>
      </c>
      <c r="EX28" s="3">
        <v>90.560631999999998</v>
      </c>
      <c r="EY28" s="3">
        <v>161.05655999999999</v>
      </c>
      <c r="EZ28" s="3">
        <v>184.68648000000002</v>
      </c>
      <c r="FA28" s="3">
        <v>209.24916000000002</v>
      </c>
      <c r="FB28" s="3">
        <v>244.38311999999999</v>
      </c>
      <c r="FC28" s="32">
        <v>153.83320000000001</v>
      </c>
      <c r="FD28" s="16"/>
    </row>
    <row r="29" spans="3:160" ht="16" x14ac:dyDescent="0.2">
      <c r="C29" s="7" t="s">
        <v>25</v>
      </c>
      <c r="D29" s="3">
        <v>25</v>
      </c>
      <c r="E29" s="3">
        <v>54.938043</v>
      </c>
      <c r="F29" s="3">
        <v>2.2000000000000002</v>
      </c>
      <c r="G29" s="3">
        <v>1.55</v>
      </c>
      <c r="H29" s="3">
        <v>7.3</v>
      </c>
      <c r="I29" s="3">
        <v>1519</v>
      </c>
      <c r="J29" s="3">
        <v>2334</v>
      </c>
      <c r="K29" s="28">
        <v>24.372</v>
      </c>
      <c r="L29" s="28">
        <v>21.420999999999999</v>
      </c>
      <c r="M29" s="28">
        <v>20.191333333333333</v>
      </c>
      <c r="N29" s="28">
        <v>15.776</v>
      </c>
      <c r="O29" s="28">
        <v>13.699333333333334</v>
      </c>
      <c r="P29" s="28">
        <v>9.2333999999999996</v>
      </c>
      <c r="Q29" s="28">
        <v>7.1609999999999996</v>
      </c>
      <c r="R29" s="28"/>
      <c r="S29" s="28"/>
      <c r="T29" s="28"/>
      <c r="U29"/>
      <c r="V29"/>
      <c r="W29"/>
      <c r="X29"/>
      <c r="Y29"/>
      <c r="Z29"/>
      <c r="AA29"/>
      <c r="AB29"/>
      <c r="AC29"/>
      <c r="AD29" s="23"/>
      <c r="AE29" s="23"/>
      <c r="AF29" s="23"/>
      <c r="AG29" s="23"/>
      <c r="AH29" s="23"/>
      <c r="AI29" s="23"/>
      <c r="AP29" s="24">
        <v>2.1160000000000001</v>
      </c>
      <c r="AQ29" s="24">
        <v>12.2728</v>
      </c>
      <c r="AR29" s="24">
        <v>9.9628333333333323</v>
      </c>
      <c r="AS29" s="24">
        <v>38.987299999999998</v>
      </c>
      <c r="AT29" s="24">
        <v>40.08056666666667</v>
      </c>
      <c r="AU29" s="24">
        <v>40.934020000000004</v>
      </c>
      <c r="AV29" s="24">
        <v>141.77199999999999</v>
      </c>
      <c r="AW29" s="24"/>
      <c r="AX29" s="24"/>
      <c r="AY29" s="24"/>
      <c r="AZ29" s="24"/>
      <c r="BA29" s="25"/>
      <c r="BB29" s="25"/>
      <c r="BC29" s="25"/>
      <c r="BD29" s="25"/>
      <c r="BE29" s="25"/>
      <c r="BF29" s="25"/>
      <c r="BG29" s="25"/>
      <c r="BH29" s="25"/>
      <c r="BO29" s="3">
        <v>242</v>
      </c>
      <c r="BP29" s="3">
        <v>245.00000000000003</v>
      </c>
      <c r="BQ29" s="3">
        <v>127</v>
      </c>
      <c r="BR29" s="3">
        <v>139</v>
      </c>
      <c r="BS29" s="3">
        <v>161</v>
      </c>
      <c r="BV29" s="3">
        <v>8316.5300779999998</v>
      </c>
      <c r="BW29" s="3">
        <v>1530.1122780000001</v>
      </c>
      <c r="BX29" s="3">
        <v>1471.5114473333333</v>
      </c>
      <c r="BY29" s="3">
        <v>315.21852100000001</v>
      </c>
      <c r="BZ29" s="3">
        <v>270.44659350000001</v>
      </c>
      <c r="CA29" s="3">
        <v>174.51071036000002</v>
      </c>
      <c r="CB29" s="3">
        <v>21.199455</v>
      </c>
      <c r="CU29" s="3">
        <f t="shared" si="0"/>
        <v>-16633.060156</v>
      </c>
      <c r="CV29" s="3">
        <f t="shared" si="4"/>
        <v>-3060.2245560000001</v>
      </c>
      <c r="CW29" s="3">
        <f t="shared" si="8"/>
        <v>-2943.0228946666666</v>
      </c>
      <c r="CX29" s="3">
        <f t="shared" si="12"/>
        <v>-630.43704200000002</v>
      </c>
      <c r="CY29" s="3">
        <f t="shared" si="16"/>
        <v>-540.89318700000001</v>
      </c>
      <c r="CZ29" s="3">
        <f t="shared" si="24"/>
        <v>-349.02142072000004</v>
      </c>
      <c r="DA29" s="3">
        <f t="shared" si="20"/>
        <v>-42.398910000000001</v>
      </c>
      <c r="DT29" s="3">
        <f t="shared" si="2"/>
        <v>-8316.5300779999998</v>
      </c>
      <c r="DU29" s="3">
        <f t="shared" si="6"/>
        <v>-1530.1122780000001</v>
      </c>
      <c r="DV29" s="3">
        <f t="shared" si="10"/>
        <v>-1471.5114473333333</v>
      </c>
      <c r="DW29" s="3">
        <f t="shared" si="14"/>
        <v>-315.21852100000001</v>
      </c>
      <c r="DX29" s="3">
        <f t="shared" si="18"/>
        <v>-270.44659350000001</v>
      </c>
      <c r="DY29" s="3">
        <f t="shared" si="25"/>
        <v>-174.51071036000002</v>
      </c>
      <c r="DZ29" s="3">
        <f t="shared" si="22"/>
        <v>-21.199455</v>
      </c>
      <c r="ES29" s="3">
        <v>7.4351336000000012</v>
      </c>
      <c r="ET29" s="3">
        <v>15.640312400000003</v>
      </c>
      <c r="EU29" s="3">
        <v>33.666417600000003</v>
      </c>
      <c r="EV29" s="3">
        <v>51.198160000000009</v>
      </c>
      <c r="EW29" s="3">
        <v>72.444360000000003</v>
      </c>
      <c r="EX29" s="3">
        <v>95.348799999999997</v>
      </c>
      <c r="EY29" s="3">
        <v>119.268912</v>
      </c>
      <c r="EZ29" s="3">
        <v>196.45998400000002</v>
      </c>
      <c r="FA29" s="3">
        <v>221.78960000000001</v>
      </c>
      <c r="FB29" s="3">
        <v>248.32144000000002</v>
      </c>
      <c r="FC29" s="32">
        <v>141.77199999999999</v>
      </c>
      <c r="FD29" s="16"/>
    </row>
    <row r="30" spans="3:160" ht="16" x14ac:dyDescent="0.2">
      <c r="C30" s="7" t="s">
        <v>26</v>
      </c>
      <c r="D30" s="3">
        <v>26</v>
      </c>
      <c r="E30" s="3">
        <v>55.844999999999999</v>
      </c>
      <c r="F30" s="3">
        <v>2.31</v>
      </c>
      <c r="G30" s="3">
        <v>1.83</v>
      </c>
      <c r="H30" s="3">
        <v>7.8739999999999997</v>
      </c>
      <c r="I30" s="3">
        <v>1811</v>
      </c>
      <c r="J30" s="3">
        <v>3134</v>
      </c>
      <c r="K30" s="28">
        <v>25.367999999999999</v>
      </c>
      <c r="L30" s="28">
        <v>22.396999999999998</v>
      </c>
      <c r="M30" s="28">
        <v>21.166</v>
      </c>
      <c r="N30" s="28">
        <v>16.577999999999999</v>
      </c>
      <c r="O30" s="28">
        <v>14.460333333333333</v>
      </c>
      <c r="P30" s="28">
        <v>9.7354000000000003</v>
      </c>
      <c r="Q30" s="28">
        <v>7.4420000000000002</v>
      </c>
      <c r="R30" s="28"/>
      <c r="S30" s="28"/>
      <c r="T30" s="28"/>
      <c r="U30"/>
      <c r="V30"/>
      <c r="W30"/>
      <c r="X30"/>
      <c r="Y30"/>
      <c r="Z30"/>
      <c r="AA30"/>
      <c r="AB30"/>
      <c r="AC30"/>
      <c r="AD30" s="23"/>
      <c r="AE30" s="23"/>
      <c r="AF30" s="23"/>
      <c r="AG30" s="23"/>
      <c r="AH30" s="23"/>
      <c r="AI30" s="23"/>
      <c r="AP30" s="24">
        <v>2.0101999999999998</v>
      </c>
      <c r="AQ30" s="24">
        <v>11.7438</v>
      </c>
      <c r="AR30" s="24">
        <v>9.5396333333333327</v>
      </c>
      <c r="AS30" s="24">
        <v>37.082899999999995</v>
      </c>
      <c r="AT30" s="24">
        <v>37.982199999999999</v>
      </c>
      <c r="AU30" s="24">
        <v>38.278439999999996</v>
      </c>
      <c r="AV30" s="24">
        <v>135.79429999999999</v>
      </c>
      <c r="AW30" s="24"/>
      <c r="AX30" s="24"/>
      <c r="AY30" s="24"/>
      <c r="AZ30" s="24"/>
      <c r="BA30" s="25"/>
      <c r="BB30" s="25"/>
      <c r="BC30" s="25"/>
      <c r="BD30" s="25"/>
      <c r="BE30" s="25"/>
      <c r="BF30" s="25"/>
      <c r="BG30" s="25"/>
      <c r="BH30" s="25"/>
      <c r="BO30" s="3">
        <v>225.99999999999997</v>
      </c>
      <c r="BP30" s="3">
        <v>244</v>
      </c>
      <c r="BQ30" s="3">
        <v>126</v>
      </c>
      <c r="BR30" s="3">
        <v>132</v>
      </c>
      <c r="BS30" s="3">
        <v>156</v>
      </c>
      <c r="BV30" s="3">
        <v>9018.9481419999993</v>
      </c>
      <c r="BW30" s="3">
        <v>1678.068953</v>
      </c>
      <c r="BX30" s="3">
        <v>1615.2217860000001</v>
      </c>
      <c r="BY30" s="3">
        <v>350.58314300000001</v>
      </c>
      <c r="BZ30" s="3">
        <v>302.6215823</v>
      </c>
      <c r="CA30" s="3">
        <v>196.83733081999998</v>
      </c>
      <c r="CB30" s="3">
        <v>22.95840974</v>
      </c>
      <c r="CU30" s="3">
        <f t="shared" si="0"/>
        <v>-18037.896283999999</v>
      </c>
      <c r="CV30" s="3">
        <f t="shared" si="4"/>
        <v>-3356.1379059999999</v>
      </c>
      <c r="CW30" s="3">
        <f t="shared" si="8"/>
        <v>-3230.4435720000001</v>
      </c>
      <c r="CX30" s="3">
        <f t="shared" si="12"/>
        <v>-701.16628600000001</v>
      </c>
      <c r="CY30" s="3">
        <f t="shared" si="16"/>
        <v>-605.2431646</v>
      </c>
      <c r="CZ30" s="3">
        <f t="shared" si="24"/>
        <v>-393.67466163999995</v>
      </c>
      <c r="DA30" s="3">
        <f t="shared" si="20"/>
        <v>-45.916819480000001</v>
      </c>
      <c r="DT30" s="3">
        <f t="shared" si="2"/>
        <v>-9018.9481419999993</v>
      </c>
      <c r="DU30" s="3">
        <f t="shared" si="6"/>
        <v>-1678.068953</v>
      </c>
      <c r="DV30" s="3">
        <f t="shared" si="10"/>
        <v>-1615.2217860000001</v>
      </c>
      <c r="DW30" s="3">
        <f t="shared" si="14"/>
        <v>-350.58314300000001</v>
      </c>
      <c r="DX30" s="3">
        <f t="shared" si="18"/>
        <v>-302.6215823</v>
      </c>
      <c r="DY30" s="3">
        <f t="shared" si="25"/>
        <v>-196.83733081999998</v>
      </c>
      <c r="DZ30" s="3">
        <f t="shared" si="22"/>
        <v>-22.95840974</v>
      </c>
      <c r="ES30" s="3">
        <v>7.8704216000000002</v>
      </c>
      <c r="ET30" s="3">
        <v>16.178204000000001</v>
      </c>
      <c r="EU30" s="3">
        <v>30.650493600000001</v>
      </c>
      <c r="EV30" s="3">
        <v>54.825560000000003</v>
      </c>
      <c r="EW30" s="3">
        <v>75.035360000000011</v>
      </c>
      <c r="EX30" s="3">
        <v>99.494399999999999</v>
      </c>
      <c r="EY30" s="3">
        <v>125.40440000000001</v>
      </c>
      <c r="EZ30" s="3">
        <v>151.05530000000002</v>
      </c>
      <c r="FA30" s="3">
        <v>235.03479200000004</v>
      </c>
      <c r="FB30" s="3">
        <v>262.10556000000003</v>
      </c>
      <c r="FC30" s="32">
        <v>135.79429999999999</v>
      </c>
      <c r="FD30" s="16"/>
    </row>
    <row r="31" spans="3:160" ht="16" x14ac:dyDescent="0.2">
      <c r="C31" s="7" t="s">
        <v>27</v>
      </c>
      <c r="D31" s="3">
        <v>27</v>
      </c>
      <c r="E31" s="3">
        <v>58.933194</v>
      </c>
      <c r="F31" s="3">
        <v>2.34</v>
      </c>
      <c r="G31" s="3">
        <v>1.88</v>
      </c>
      <c r="H31" s="3">
        <v>8.86</v>
      </c>
      <c r="I31" s="3">
        <v>1768</v>
      </c>
      <c r="J31" s="3">
        <v>3200</v>
      </c>
      <c r="K31" s="28">
        <v>26.364000000000001</v>
      </c>
      <c r="L31" s="28">
        <v>23.373000000000001</v>
      </c>
      <c r="M31" s="28">
        <v>22.13933333333333</v>
      </c>
      <c r="N31" s="28">
        <v>17.37</v>
      </c>
      <c r="O31" s="28">
        <v>15.207666666666668</v>
      </c>
      <c r="P31" s="28">
        <v>10.276</v>
      </c>
      <c r="Q31" s="28">
        <v>7.6989999999999998</v>
      </c>
      <c r="R31" s="28"/>
      <c r="S31" s="28"/>
      <c r="T31" s="28"/>
      <c r="U31"/>
      <c r="V31"/>
      <c r="W31"/>
      <c r="X31"/>
      <c r="Y31"/>
      <c r="Z31"/>
      <c r="AA31"/>
      <c r="AB31"/>
      <c r="AC31"/>
      <c r="AD31" s="23"/>
      <c r="AE31" s="23"/>
      <c r="AF31" s="23"/>
      <c r="AG31" s="23"/>
      <c r="AH31" s="23"/>
      <c r="AI31" s="23"/>
      <c r="AP31" s="24">
        <v>1.9572999999999998</v>
      </c>
      <c r="AQ31" s="24">
        <v>11.2677</v>
      </c>
      <c r="AR31" s="24">
        <v>9.1164333333333332</v>
      </c>
      <c r="AS31" s="24">
        <v>35.442999999999998</v>
      </c>
      <c r="AT31" s="24">
        <v>36.113066666666668</v>
      </c>
      <c r="AU31" s="24">
        <v>35.929679999999998</v>
      </c>
      <c r="AV31" s="24">
        <v>130.61009999999999</v>
      </c>
      <c r="AW31" s="24"/>
      <c r="AX31" s="24"/>
      <c r="AY31" s="24"/>
      <c r="AZ31" s="24"/>
      <c r="BA31" s="25"/>
      <c r="BB31" s="25"/>
      <c r="BC31" s="25"/>
      <c r="BD31" s="25"/>
      <c r="BE31" s="25"/>
      <c r="BF31" s="25"/>
      <c r="BG31" s="25"/>
      <c r="BH31" s="25"/>
      <c r="BO31" s="3">
        <v>222.00000000000003</v>
      </c>
      <c r="BP31" s="3">
        <v>240</v>
      </c>
      <c r="BQ31" s="3">
        <v>125</v>
      </c>
      <c r="BR31" s="3">
        <v>126</v>
      </c>
      <c r="BS31" s="3">
        <v>152</v>
      </c>
      <c r="BV31" s="3">
        <v>9751.6032230000001</v>
      </c>
      <c r="BW31" s="3">
        <v>1833.1477179999999</v>
      </c>
      <c r="BX31" s="3">
        <v>1765.6371816666667</v>
      </c>
      <c r="BY31" s="3">
        <v>387.26471429999998</v>
      </c>
      <c r="BZ31" s="3">
        <v>336.00163266666669</v>
      </c>
      <c r="CA31" s="3">
        <v>221.13143116000001</v>
      </c>
      <c r="CB31" s="3">
        <v>24.569850469999999</v>
      </c>
      <c r="CU31" s="3">
        <f t="shared" si="0"/>
        <v>-19503.206446</v>
      </c>
      <c r="CV31" s="3">
        <f t="shared" si="4"/>
        <v>-3666.2954359999999</v>
      </c>
      <c r="CW31" s="3">
        <f t="shared" si="8"/>
        <v>-3531.2743633333334</v>
      </c>
      <c r="CX31" s="3">
        <f t="shared" si="12"/>
        <v>-774.52942859999996</v>
      </c>
      <c r="CY31" s="3">
        <f t="shared" si="16"/>
        <v>-672.00326533333339</v>
      </c>
      <c r="CZ31" s="3">
        <f t="shared" si="24"/>
        <v>-442.26286232000001</v>
      </c>
      <c r="DA31" s="3">
        <f t="shared" si="20"/>
        <v>-49.139700939999997</v>
      </c>
      <c r="DT31" s="3">
        <f t="shared" si="2"/>
        <v>-9751.6032230000001</v>
      </c>
      <c r="DU31" s="3">
        <f t="shared" si="6"/>
        <v>-1833.1477179999999</v>
      </c>
      <c r="DV31" s="3">
        <f t="shared" si="10"/>
        <v>-1765.6371816666667</v>
      </c>
      <c r="DW31" s="3">
        <f t="shared" si="14"/>
        <v>-387.26471429999998</v>
      </c>
      <c r="DX31" s="3">
        <f t="shared" si="18"/>
        <v>-336.00163266666669</v>
      </c>
      <c r="DY31" s="3">
        <f t="shared" si="25"/>
        <v>-221.13143116000001</v>
      </c>
      <c r="DZ31" s="3">
        <f t="shared" si="22"/>
        <v>-24.569850469999999</v>
      </c>
      <c r="ES31" s="3">
        <v>7.8559120000000009</v>
      </c>
      <c r="ET31" s="3">
        <v>17.059144</v>
      </c>
      <c r="EU31" s="3">
        <v>33.496448000000008</v>
      </c>
      <c r="EV31" s="3">
        <v>51.301800000000007</v>
      </c>
      <c r="EW31" s="3">
        <v>79.491880000000009</v>
      </c>
      <c r="EX31" s="3">
        <v>101.98176000000001</v>
      </c>
      <c r="EY31" s="3">
        <v>128.51360000000003</v>
      </c>
      <c r="EZ31" s="3">
        <v>156.49639999999999</v>
      </c>
      <c r="FA31" s="3">
        <v>186.12707600000002</v>
      </c>
      <c r="FB31" s="3">
        <v>275.68240000000003</v>
      </c>
      <c r="FC31" s="32">
        <v>130.61009999999999</v>
      </c>
      <c r="FD31" s="16"/>
    </row>
    <row r="32" spans="3:160" ht="16" x14ac:dyDescent="0.2">
      <c r="C32" s="7" t="s">
        <v>28</v>
      </c>
      <c r="D32" s="3">
        <v>28</v>
      </c>
      <c r="E32" s="3">
        <v>58.693399999999997</v>
      </c>
      <c r="F32" s="3">
        <v>2.3199999999999998</v>
      </c>
      <c r="G32" s="3">
        <v>1.91</v>
      </c>
      <c r="H32" s="3">
        <v>8.9120000000000008</v>
      </c>
      <c r="I32" s="3">
        <v>1728</v>
      </c>
      <c r="J32" s="3">
        <v>3186</v>
      </c>
      <c r="K32" s="28">
        <v>27.36</v>
      </c>
      <c r="L32" s="28">
        <v>24.347999999999999</v>
      </c>
      <c r="M32" s="28">
        <v>23.111333333333334</v>
      </c>
      <c r="N32" s="28">
        <v>18.157</v>
      </c>
      <c r="O32" s="28">
        <v>15.949666666666667</v>
      </c>
      <c r="P32" s="28">
        <v>10.8146</v>
      </c>
      <c r="Q32" s="28">
        <v>7.9480000000000004</v>
      </c>
      <c r="R32" s="28"/>
      <c r="S32" s="28"/>
      <c r="T32" s="28"/>
      <c r="U32"/>
      <c r="V32"/>
      <c r="W32"/>
      <c r="X32"/>
      <c r="Y32"/>
      <c r="Z32"/>
      <c r="AA32"/>
      <c r="AB32"/>
      <c r="AC32"/>
      <c r="AD32" s="23"/>
      <c r="AE32" s="23"/>
      <c r="AF32" s="23"/>
      <c r="AG32" s="23"/>
      <c r="AH32" s="23"/>
      <c r="AI32" s="23"/>
      <c r="AP32" s="24">
        <v>1.8515000000000001</v>
      </c>
      <c r="AQ32" s="24">
        <v>10.791599999999999</v>
      </c>
      <c r="AR32" s="24">
        <v>8.7461333333333329</v>
      </c>
      <c r="AS32" s="24">
        <v>33.856000000000002</v>
      </c>
      <c r="AT32" s="24">
        <v>34.420266666666663</v>
      </c>
      <c r="AU32" s="24">
        <v>33.898319999999998</v>
      </c>
      <c r="AV32" s="24">
        <v>125.95489999999998</v>
      </c>
      <c r="AW32" s="24"/>
      <c r="AX32" s="24"/>
      <c r="AY32" s="24"/>
      <c r="AZ32" s="24"/>
      <c r="BA32" s="25"/>
      <c r="BB32" s="25"/>
      <c r="BC32" s="25"/>
      <c r="BD32" s="25"/>
      <c r="BE32" s="25"/>
      <c r="BF32" s="25"/>
      <c r="BG32" s="25"/>
      <c r="BH32" s="25"/>
      <c r="BO32" s="3">
        <v>219</v>
      </c>
      <c r="BP32" s="3">
        <v>240</v>
      </c>
      <c r="BQ32" s="3">
        <v>124</v>
      </c>
      <c r="BR32" s="3">
        <v>124</v>
      </c>
      <c r="BS32" s="3">
        <v>149</v>
      </c>
      <c r="BV32" s="3">
        <v>10514.729880000001</v>
      </c>
      <c r="BW32" s="3">
        <v>1995.4458810000001</v>
      </c>
      <c r="BX32" s="3">
        <v>1922.8049013333332</v>
      </c>
      <c r="BY32" s="3">
        <v>425.56596159999998</v>
      </c>
      <c r="BZ32" s="3">
        <v>370.89541603333333</v>
      </c>
      <c r="CA32" s="3">
        <v>246.64686062000001</v>
      </c>
      <c r="CB32" s="3">
        <v>26.1633453</v>
      </c>
      <c r="CU32" s="3">
        <f t="shared" si="0"/>
        <v>-21029.459760000002</v>
      </c>
      <c r="CV32" s="3">
        <f t="shared" si="4"/>
        <v>-3990.8917620000002</v>
      </c>
      <c r="CW32" s="3">
        <f t="shared" si="8"/>
        <v>-3845.6098026666664</v>
      </c>
      <c r="CX32" s="3">
        <f t="shared" si="12"/>
        <v>-851.13192319999996</v>
      </c>
      <c r="CY32" s="3">
        <f t="shared" si="16"/>
        <v>-741.79083206666667</v>
      </c>
      <c r="CZ32" s="3">
        <f t="shared" si="24"/>
        <v>-493.29372124000002</v>
      </c>
      <c r="DA32" s="3">
        <f t="shared" si="20"/>
        <v>-52.326690599999999</v>
      </c>
      <c r="DT32" s="3">
        <f t="shared" si="2"/>
        <v>-10514.729880000001</v>
      </c>
      <c r="DU32" s="3">
        <f t="shared" si="6"/>
        <v>-1995.4458810000001</v>
      </c>
      <c r="DV32" s="3">
        <f t="shared" si="10"/>
        <v>-1922.8049013333332</v>
      </c>
      <c r="DW32" s="3">
        <f t="shared" si="14"/>
        <v>-425.56596159999998</v>
      </c>
      <c r="DX32" s="3">
        <f t="shared" si="18"/>
        <v>-370.89541603333333</v>
      </c>
      <c r="DY32" s="3">
        <f t="shared" si="25"/>
        <v>-246.64686062000001</v>
      </c>
      <c r="DZ32" s="3">
        <f t="shared" si="22"/>
        <v>-26.1633453</v>
      </c>
      <c r="ES32" s="3">
        <v>7.635158800000001</v>
      </c>
      <c r="ET32" s="3">
        <v>18.168092000000001</v>
      </c>
      <c r="EU32" s="3">
        <v>35.165052000000003</v>
      </c>
      <c r="EV32" s="3">
        <v>54.929200000000002</v>
      </c>
      <c r="EW32" s="3">
        <v>75.449920000000006</v>
      </c>
      <c r="EX32" s="3">
        <v>107.78560000000002</v>
      </c>
      <c r="EY32" s="3">
        <v>132.65920000000003</v>
      </c>
      <c r="EZ32" s="3">
        <v>161.67840000000001</v>
      </c>
      <c r="FA32" s="3">
        <v>192.77040000000002</v>
      </c>
      <c r="FB32" s="3">
        <v>224.48424000000003</v>
      </c>
      <c r="FC32" s="32">
        <v>125.95489999999998</v>
      </c>
      <c r="FD32" s="16"/>
    </row>
    <row r="33" spans="3:160" ht="16" x14ac:dyDescent="0.2">
      <c r="C33" s="7" t="s">
        <v>29</v>
      </c>
      <c r="D33" s="3">
        <v>29</v>
      </c>
      <c r="E33" s="3">
        <v>63.545999999999999</v>
      </c>
      <c r="F33" s="3">
        <v>2.86</v>
      </c>
      <c r="G33" s="3">
        <v>1.9</v>
      </c>
      <c r="H33" s="3">
        <v>8.9329999999999998</v>
      </c>
      <c r="I33" s="3">
        <v>1357.77</v>
      </c>
      <c r="J33" s="3">
        <v>2835</v>
      </c>
      <c r="K33" s="28">
        <v>28.356999999999999</v>
      </c>
      <c r="L33" s="28">
        <v>25.324000000000002</v>
      </c>
      <c r="M33" s="28">
        <v>24.083666666666669</v>
      </c>
      <c r="N33" s="28">
        <v>18.835000000000001</v>
      </c>
      <c r="O33" s="28">
        <v>16.552333333333333</v>
      </c>
      <c r="P33" s="28">
        <v>10.520999999999999</v>
      </c>
      <c r="Q33" s="28">
        <v>7.351</v>
      </c>
      <c r="R33" s="28"/>
      <c r="S33" s="28"/>
      <c r="T33" s="28"/>
      <c r="U33"/>
      <c r="V33"/>
      <c r="W33"/>
      <c r="X33"/>
      <c r="Y33"/>
      <c r="Z33"/>
      <c r="AA33"/>
      <c r="AB33"/>
      <c r="AC33"/>
      <c r="AD33" s="23"/>
      <c r="AE33" s="23"/>
      <c r="AF33" s="23"/>
      <c r="AG33" s="23"/>
      <c r="AH33" s="23"/>
      <c r="AI33" s="23"/>
      <c r="AP33" s="24">
        <v>1.7986</v>
      </c>
      <c r="AQ33" s="24">
        <v>10.368399999999999</v>
      </c>
      <c r="AR33" s="24">
        <v>8.3758333333333326</v>
      </c>
      <c r="AS33" s="24">
        <v>32.533499999999997</v>
      </c>
      <c r="AT33" s="24">
        <v>32.991966666666663</v>
      </c>
      <c r="AU33" s="24">
        <v>32.57582</v>
      </c>
      <c r="AV33" s="24">
        <v>134.36599999999999</v>
      </c>
      <c r="AW33" s="24"/>
      <c r="AX33" s="24"/>
      <c r="AY33" s="24"/>
      <c r="AZ33" s="24"/>
      <c r="BA33" s="25"/>
      <c r="BB33" s="25"/>
      <c r="BC33" s="25"/>
      <c r="BD33" s="25"/>
      <c r="BE33" s="25"/>
      <c r="BF33" s="25"/>
      <c r="BG33" s="25"/>
      <c r="BH33" s="25"/>
      <c r="BO33" s="3">
        <v>217</v>
      </c>
      <c r="BP33" s="3">
        <v>238</v>
      </c>
      <c r="BQ33" s="3">
        <v>128</v>
      </c>
      <c r="BR33" s="3">
        <v>132</v>
      </c>
      <c r="BS33" s="3">
        <v>145</v>
      </c>
      <c r="BV33" s="3">
        <v>11308.832899999999</v>
      </c>
      <c r="BW33" s="3">
        <v>2165.162738</v>
      </c>
      <c r="BX33" s="3">
        <v>2087.0830826666665</v>
      </c>
      <c r="BY33" s="3">
        <v>460.3174022</v>
      </c>
      <c r="BZ33" s="3">
        <v>401.87532263333333</v>
      </c>
      <c r="CA33" s="3">
        <v>253.84945164000001</v>
      </c>
      <c r="CB33" s="3">
        <v>20.422242090000001</v>
      </c>
      <c r="CU33" s="3">
        <f t="shared" si="0"/>
        <v>-22617.665799999999</v>
      </c>
      <c r="CV33" s="3">
        <f t="shared" si="4"/>
        <v>-4330.325476</v>
      </c>
      <c r="CW33" s="3">
        <f t="shared" si="8"/>
        <v>-4174.1661653333331</v>
      </c>
      <c r="CX33" s="3">
        <f t="shared" si="12"/>
        <v>-920.63480440000001</v>
      </c>
      <c r="CY33" s="3">
        <f t="shared" si="16"/>
        <v>-803.75064526666665</v>
      </c>
      <c r="CZ33" s="3">
        <f t="shared" si="24"/>
        <v>-507.69890328000002</v>
      </c>
      <c r="DA33" s="3">
        <f t="shared" si="20"/>
        <v>-40.844484180000002</v>
      </c>
      <c r="DT33" s="3">
        <f t="shared" si="2"/>
        <v>-11308.832899999999</v>
      </c>
      <c r="DU33" s="3">
        <f t="shared" si="6"/>
        <v>-2165.162738</v>
      </c>
      <c r="DV33" s="3">
        <f t="shared" si="10"/>
        <v>-2087.0830826666665</v>
      </c>
      <c r="DW33" s="3">
        <f t="shared" si="14"/>
        <v>-460.3174022</v>
      </c>
      <c r="DX33" s="3">
        <f t="shared" si="18"/>
        <v>-401.87532263333333</v>
      </c>
      <c r="DY33" s="3">
        <f t="shared" si="25"/>
        <v>-253.84945164000001</v>
      </c>
      <c r="DZ33" s="3">
        <f t="shared" si="22"/>
        <v>-20.422242090000001</v>
      </c>
      <c r="ES33" s="3">
        <v>7.7263620000000008</v>
      </c>
      <c r="ET33" s="3">
        <v>20.291675600000001</v>
      </c>
      <c r="EU33" s="3">
        <v>36.833655999999998</v>
      </c>
      <c r="EV33" s="3">
        <v>55.240120000000005</v>
      </c>
      <c r="EW33" s="3">
        <v>79.906440000000003</v>
      </c>
      <c r="EX33" s="3">
        <v>103.01816000000001</v>
      </c>
      <c r="EY33" s="3">
        <v>138.8776</v>
      </c>
      <c r="EZ33" s="3">
        <v>165.82400000000001</v>
      </c>
      <c r="FA33" s="3">
        <v>198.9888</v>
      </c>
      <c r="FB33" s="3">
        <v>232.15360000000001</v>
      </c>
      <c r="FC33" s="32">
        <v>134.36599999999999</v>
      </c>
      <c r="FD33" s="16"/>
    </row>
    <row r="34" spans="3:160" ht="16" x14ac:dyDescent="0.2">
      <c r="C34" s="7" t="s">
        <v>30</v>
      </c>
      <c r="D34" s="3">
        <v>30</v>
      </c>
      <c r="E34" s="3">
        <v>65.38</v>
      </c>
      <c r="F34" s="3">
        <v>2.2599999999999998</v>
      </c>
      <c r="G34" s="3">
        <v>1.65</v>
      </c>
      <c r="H34" s="3">
        <v>7.1340000000000003</v>
      </c>
      <c r="I34" s="3">
        <v>692.68</v>
      </c>
      <c r="J34" s="3">
        <v>1180</v>
      </c>
      <c r="K34" s="28">
        <v>29.353000000000002</v>
      </c>
      <c r="L34" s="28">
        <v>26.297999999999998</v>
      </c>
      <c r="M34" s="28">
        <v>25.052999999999997</v>
      </c>
      <c r="N34" s="28">
        <v>19.719000000000001</v>
      </c>
      <c r="O34" s="28">
        <v>17.418666666666667</v>
      </c>
      <c r="P34" s="28">
        <v>11.922800000000001</v>
      </c>
      <c r="Q34" s="28">
        <v>8.4160000000000004</v>
      </c>
      <c r="R34" s="28"/>
      <c r="S34" s="28"/>
      <c r="T34" s="28"/>
      <c r="U34"/>
      <c r="V34"/>
      <c r="W34"/>
      <c r="X34"/>
      <c r="Y34"/>
      <c r="Z34"/>
      <c r="AA34"/>
      <c r="AB34"/>
      <c r="AC34"/>
      <c r="AD34" s="23"/>
      <c r="AE34" s="23"/>
      <c r="AF34" s="23"/>
      <c r="AG34" s="23"/>
      <c r="AH34" s="23"/>
      <c r="AI34" s="23"/>
      <c r="AP34" s="24">
        <v>1.7457</v>
      </c>
      <c r="AQ34" s="24">
        <v>9.9980999999999991</v>
      </c>
      <c r="AR34" s="24">
        <v>8.0584333333333316</v>
      </c>
      <c r="AS34" s="24">
        <v>31.158099999999997</v>
      </c>
      <c r="AT34" s="24">
        <v>31.54603333333333</v>
      </c>
      <c r="AU34" s="24">
        <v>30.459819999999997</v>
      </c>
      <c r="AV34" s="24">
        <v>117.80829999999999</v>
      </c>
      <c r="AW34" s="24"/>
      <c r="AX34" s="24"/>
      <c r="AY34" s="24"/>
      <c r="AZ34" s="24"/>
      <c r="BA34" s="25"/>
      <c r="BB34" s="25"/>
      <c r="BC34" s="25"/>
      <c r="BD34" s="25"/>
      <c r="BE34" s="25"/>
      <c r="BF34" s="25"/>
      <c r="BG34" s="25"/>
      <c r="BH34" s="25"/>
      <c r="BO34" s="3">
        <v>222.00000000000003</v>
      </c>
      <c r="BP34" s="3">
        <v>239</v>
      </c>
      <c r="BQ34" s="3">
        <v>134</v>
      </c>
      <c r="BR34" s="3">
        <v>122</v>
      </c>
      <c r="BS34" s="3">
        <v>142</v>
      </c>
      <c r="BV34" s="3">
        <v>12133.52096</v>
      </c>
      <c r="BW34" s="3">
        <v>2342.0132229999999</v>
      </c>
      <c r="BX34" s="3">
        <v>2257.5295856666667</v>
      </c>
      <c r="BY34" s="3">
        <v>506.99371480000002</v>
      </c>
      <c r="BZ34" s="3">
        <v>445.13754986666663</v>
      </c>
      <c r="CA34" s="3">
        <v>302.26570637999998</v>
      </c>
      <c r="CB34" s="3">
        <v>29.23691492</v>
      </c>
      <c r="CU34" s="3">
        <f t="shared" si="0"/>
        <v>-24267.04192</v>
      </c>
      <c r="CV34" s="3">
        <f t="shared" si="4"/>
        <v>-4684.0264459999999</v>
      </c>
      <c r="CW34" s="3">
        <f t="shared" si="8"/>
        <v>-4515.0591713333333</v>
      </c>
      <c r="CX34" s="3">
        <f t="shared" si="12"/>
        <v>-1013.9874296</v>
      </c>
      <c r="CY34" s="3">
        <f t="shared" si="16"/>
        <v>-890.27509973333326</v>
      </c>
      <c r="CZ34" s="3">
        <f t="shared" si="24"/>
        <v>-604.53141275999997</v>
      </c>
      <c r="DA34" s="3">
        <f t="shared" si="20"/>
        <v>-58.473829840000001</v>
      </c>
      <c r="DT34" s="3">
        <f t="shared" si="2"/>
        <v>-12133.52096</v>
      </c>
      <c r="DU34" s="3">
        <f t="shared" si="6"/>
        <v>-2342.0132229999999</v>
      </c>
      <c r="DV34" s="3">
        <f t="shared" si="10"/>
        <v>-2257.5295856666667</v>
      </c>
      <c r="DW34" s="3">
        <f t="shared" si="14"/>
        <v>-506.99371480000002</v>
      </c>
      <c r="DX34" s="3">
        <f t="shared" si="18"/>
        <v>-445.13754986666663</v>
      </c>
      <c r="DY34" s="3">
        <f t="shared" si="25"/>
        <v>-302.26570637999998</v>
      </c>
      <c r="DZ34" s="3">
        <f t="shared" si="22"/>
        <v>-29.23691492</v>
      </c>
      <c r="ES34" s="3">
        <v>9.3939295999999999</v>
      </c>
      <c r="ET34" s="3">
        <v>17.963921200000001</v>
      </c>
      <c r="EU34" s="3">
        <v>39.722102800000002</v>
      </c>
      <c r="EV34" s="3">
        <v>59.385720000000006</v>
      </c>
      <c r="EW34" s="3">
        <v>82.60108000000001</v>
      </c>
      <c r="EX34" s="3">
        <v>107.78560000000002</v>
      </c>
      <c r="EY34" s="3">
        <v>133.69560000000001</v>
      </c>
      <c r="EZ34" s="3">
        <v>174.11520000000002</v>
      </c>
      <c r="FA34" s="3">
        <v>203.13440000000003</v>
      </c>
      <c r="FB34" s="3">
        <v>238.37200000000001</v>
      </c>
      <c r="FC34" s="32">
        <v>117.80829999999999</v>
      </c>
      <c r="FD34" s="16"/>
    </row>
    <row r="35" spans="3:160" ht="16" x14ac:dyDescent="0.2">
      <c r="C35" s="7" t="s">
        <v>31</v>
      </c>
      <c r="D35" s="3">
        <v>31</v>
      </c>
      <c r="E35" s="3">
        <v>69.722999999999999</v>
      </c>
      <c r="F35" s="3">
        <v>2.4300000000000002</v>
      </c>
      <c r="G35" s="3">
        <v>1.81</v>
      </c>
      <c r="H35" s="3">
        <v>5.91</v>
      </c>
      <c r="I35" s="3">
        <v>302.91000000000003</v>
      </c>
      <c r="J35" s="3">
        <v>2477</v>
      </c>
      <c r="K35" s="28">
        <v>30.349</v>
      </c>
      <c r="L35" s="28">
        <v>27.273</v>
      </c>
      <c r="M35" s="28">
        <v>26.022000000000002</v>
      </c>
      <c r="N35" s="28">
        <v>20.623000000000001</v>
      </c>
      <c r="O35" s="28">
        <v>18.327333333333332</v>
      </c>
      <c r="P35" s="28">
        <v>13.2456</v>
      </c>
      <c r="Q35" s="28">
        <v>9.782</v>
      </c>
      <c r="R35" s="28">
        <v>6.7789999999999999</v>
      </c>
      <c r="S35" s="28"/>
      <c r="T35" s="28"/>
      <c r="U35"/>
      <c r="V35"/>
      <c r="W35"/>
      <c r="X35"/>
      <c r="Y35"/>
      <c r="Z35"/>
      <c r="AA35"/>
      <c r="AB35"/>
      <c r="AC35"/>
      <c r="AD35" s="23"/>
      <c r="AE35" s="23"/>
      <c r="AF35" s="23"/>
      <c r="AG35" s="23"/>
      <c r="AH35" s="23"/>
      <c r="AI35" s="23"/>
      <c r="AP35" s="24">
        <v>1.6928000000000001</v>
      </c>
      <c r="AQ35" s="24">
        <v>9.6277999999999988</v>
      </c>
      <c r="AR35" s="24">
        <v>7.7762999999999991</v>
      </c>
      <c r="AS35" s="24">
        <v>29.888499999999997</v>
      </c>
      <c r="AT35" s="24">
        <v>30.152999999999995</v>
      </c>
      <c r="AU35" s="24">
        <v>28.608320000000003</v>
      </c>
      <c r="AV35" s="24">
        <v>104.0543</v>
      </c>
      <c r="AW35" s="24">
        <v>138.33350000000002</v>
      </c>
      <c r="AX35" s="24"/>
      <c r="AY35" s="24"/>
      <c r="AZ35" s="24"/>
      <c r="BA35" s="24"/>
      <c r="BB35" s="25"/>
      <c r="BC35" s="25"/>
      <c r="BD35" s="25"/>
      <c r="BE35" s="25"/>
      <c r="BF35" s="25"/>
      <c r="BG35" s="25"/>
      <c r="BH35" s="25"/>
      <c r="BO35" s="3">
        <v>233</v>
      </c>
      <c r="BP35" s="3">
        <v>231.99999999999997</v>
      </c>
      <c r="BQ35" s="3">
        <v>135</v>
      </c>
      <c r="BR35" s="3">
        <v>122</v>
      </c>
      <c r="BS35" s="3">
        <v>136</v>
      </c>
      <c r="BV35" s="3">
        <v>12989.42021</v>
      </c>
      <c r="BW35" s="3">
        <v>2526.2929859999999</v>
      </c>
      <c r="BX35" s="3">
        <v>2434.9143023333331</v>
      </c>
      <c r="BY35" s="3">
        <v>557.2891687</v>
      </c>
      <c r="BZ35" s="3">
        <v>492.71563866666662</v>
      </c>
      <c r="CA35" s="3">
        <v>353.66348793999998</v>
      </c>
      <c r="CB35" s="3">
        <v>42.674100350000003</v>
      </c>
      <c r="CC35" s="3">
        <v>21.60221232</v>
      </c>
      <c r="CU35" s="3">
        <f t="shared" si="0"/>
        <v>-25978.84042</v>
      </c>
      <c r="CV35" s="3">
        <f t="shared" si="4"/>
        <v>-5052.5859719999999</v>
      </c>
      <c r="CW35" s="3">
        <f t="shared" si="8"/>
        <v>-4869.8286046666663</v>
      </c>
      <c r="CX35" s="3">
        <f t="shared" si="12"/>
        <v>-1114.5783374</v>
      </c>
      <c r="CY35" s="3">
        <f t="shared" si="16"/>
        <v>-985.43127733333324</v>
      </c>
      <c r="CZ35" s="3">
        <f t="shared" si="24"/>
        <v>-707.32697587999996</v>
      </c>
      <c r="DA35" s="3">
        <f t="shared" si="20"/>
        <v>-85.348200700000007</v>
      </c>
      <c r="DB35" s="3">
        <f t="shared" ref="DB35:DB69" si="26">-2*CC35</f>
        <v>-43.204424639999999</v>
      </c>
      <c r="DT35" s="3">
        <f t="shared" si="2"/>
        <v>-12989.42021</v>
      </c>
      <c r="DU35" s="3">
        <f t="shared" si="6"/>
        <v>-2526.2929859999999</v>
      </c>
      <c r="DV35" s="3">
        <f t="shared" si="10"/>
        <v>-2434.9143023333331</v>
      </c>
      <c r="DW35" s="3">
        <f t="shared" si="14"/>
        <v>-557.2891687</v>
      </c>
      <c r="DX35" s="3">
        <f t="shared" si="18"/>
        <v>-492.71563866666662</v>
      </c>
      <c r="DY35" s="3">
        <f t="shared" si="25"/>
        <v>-353.66348793999998</v>
      </c>
      <c r="DZ35" s="3">
        <f t="shared" si="22"/>
        <v>-42.674100350000003</v>
      </c>
      <c r="EA35" s="3">
        <f t="shared" ref="EA35:EA66" si="27">-1*CC35</f>
        <v>-21.60221232</v>
      </c>
      <c r="ES35" s="3">
        <v>5.9986832000000003</v>
      </c>
      <c r="ET35" s="3">
        <v>20.510356000000002</v>
      </c>
      <c r="EU35" s="3">
        <v>30.708532000000002</v>
      </c>
      <c r="EV35" s="3">
        <v>64.256800000000013</v>
      </c>
      <c r="FC35" s="32">
        <v>138.33350000000002</v>
      </c>
      <c r="FD35" s="16"/>
    </row>
    <row r="36" spans="3:160" ht="16" x14ac:dyDescent="0.2">
      <c r="C36" s="7" t="s">
        <v>32</v>
      </c>
      <c r="D36" s="3">
        <v>32</v>
      </c>
      <c r="E36" s="3">
        <v>72.63</v>
      </c>
      <c r="F36" s="3">
        <v>2.79</v>
      </c>
      <c r="G36" s="3">
        <v>2.0099999999999998</v>
      </c>
      <c r="H36" s="3">
        <v>5.3230000000000004</v>
      </c>
      <c r="I36" s="3">
        <v>1211.4000000000001</v>
      </c>
      <c r="J36" s="3">
        <v>3106</v>
      </c>
      <c r="K36" s="28">
        <v>31.344999999999999</v>
      </c>
      <c r="L36" s="28">
        <v>28.248000000000001</v>
      </c>
      <c r="M36" s="28">
        <v>26.992333333333335</v>
      </c>
      <c r="N36" s="28">
        <v>21.548999999999999</v>
      </c>
      <c r="O36" s="28">
        <v>19.262666666666668</v>
      </c>
      <c r="P36" s="28">
        <v>14.474600000000001</v>
      </c>
      <c r="Q36" s="28">
        <v>10.933999999999999</v>
      </c>
      <c r="R36" s="28">
        <v>8.06</v>
      </c>
      <c r="S36" s="28"/>
      <c r="T36" s="28"/>
      <c r="U36" s="28"/>
      <c r="V36" s="28"/>
      <c r="W36"/>
      <c r="X36"/>
      <c r="Y36"/>
      <c r="Z36"/>
      <c r="AA36"/>
      <c r="AB36"/>
      <c r="AC36"/>
      <c r="AD36" s="23"/>
      <c r="AE36" s="23"/>
      <c r="AF36" s="23"/>
      <c r="AG36" s="23"/>
      <c r="AH36" s="23"/>
      <c r="AI36" s="23"/>
      <c r="AP36" s="24">
        <v>1.6398999999999999</v>
      </c>
      <c r="AQ36" s="24">
        <v>9.3103999999999996</v>
      </c>
      <c r="AR36" s="24">
        <v>7.4765333333333333</v>
      </c>
      <c r="AS36" s="24">
        <v>28.724700000000002</v>
      </c>
      <c r="AT36" s="24">
        <v>28.848133333333337</v>
      </c>
      <c r="AU36" s="24">
        <v>26.968419999999998</v>
      </c>
      <c r="AV36" s="24">
        <v>94.532299999999992</v>
      </c>
      <c r="AW36" s="24">
        <v>118.98973333333333</v>
      </c>
      <c r="AX36" s="24"/>
      <c r="AY36" s="24"/>
      <c r="AZ36" s="24"/>
      <c r="BA36" s="24"/>
      <c r="BB36" s="24"/>
      <c r="BC36" s="25"/>
      <c r="BD36" s="25"/>
      <c r="BE36" s="25"/>
      <c r="BF36" s="25"/>
      <c r="BG36" s="25"/>
      <c r="BH36" s="25"/>
      <c r="BO36" s="3">
        <v>234</v>
      </c>
      <c r="BP36" s="3">
        <v>229</v>
      </c>
      <c r="BQ36" s="3" t="s">
        <v>156</v>
      </c>
      <c r="BR36" s="3">
        <v>120</v>
      </c>
      <c r="BS36" s="3">
        <v>125</v>
      </c>
      <c r="BV36" s="3">
        <v>13876.821529999999</v>
      </c>
      <c r="BW36" s="3">
        <v>2718.2184139999999</v>
      </c>
      <c r="BX36" s="3">
        <v>2619.2992200000003</v>
      </c>
      <c r="BY36" s="3">
        <v>611.60066900000004</v>
      </c>
      <c r="BZ36" s="3">
        <v>544.4183201666666</v>
      </c>
      <c r="CA36" s="3">
        <v>407.21603018000002</v>
      </c>
      <c r="CB36" s="3">
        <v>56.379573710000003</v>
      </c>
      <c r="CC36" s="3">
        <v>32.818594273333332</v>
      </c>
      <c r="CU36" s="3">
        <f t="shared" si="0"/>
        <v>-27753.643059999999</v>
      </c>
      <c r="CV36" s="3">
        <f t="shared" si="4"/>
        <v>-5436.4368279999999</v>
      </c>
      <c r="CW36" s="3">
        <f t="shared" si="8"/>
        <v>-5238.5984400000007</v>
      </c>
      <c r="CX36" s="3">
        <f t="shared" si="12"/>
        <v>-1223.2013380000001</v>
      </c>
      <c r="CY36" s="3">
        <f t="shared" si="16"/>
        <v>-1088.8366403333332</v>
      </c>
      <c r="CZ36" s="3">
        <f t="shared" si="24"/>
        <v>-814.43206036000004</v>
      </c>
      <c r="DA36" s="3">
        <f t="shared" si="20"/>
        <v>-112.75914742000001</v>
      </c>
      <c r="DB36" s="3">
        <f t="shared" si="26"/>
        <v>-65.637188546666664</v>
      </c>
      <c r="DT36" s="3">
        <f t="shared" si="2"/>
        <v>-13876.821529999999</v>
      </c>
      <c r="DU36" s="3">
        <f t="shared" si="6"/>
        <v>-2718.2184139999999</v>
      </c>
      <c r="DV36" s="3">
        <f t="shared" si="10"/>
        <v>-2619.2992200000003</v>
      </c>
      <c r="DW36" s="3">
        <f t="shared" si="14"/>
        <v>-611.60066900000004</v>
      </c>
      <c r="DX36" s="3">
        <f t="shared" si="18"/>
        <v>-544.4183201666666</v>
      </c>
      <c r="DY36" s="3">
        <f t="shared" si="25"/>
        <v>-407.21603018000002</v>
      </c>
      <c r="DZ36" s="3">
        <f t="shared" si="22"/>
        <v>-56.379573710000003</v>
      </c>
      <c r="EA36" s="3">
        <f t="shared" si="27"/>
        <v>-32.818594273333332</v>
      </c>
      <c r="ES36" s="3">
        <v>7.8994408000000007</v>
      </c>
      <c r="ET36" s="3">
        <v>15.931540800000001</v>
      </c>
      <c r="EU36" s="3">
        <v>34.221928000000005</v>
      </c>
      <c r="EV36" s="3">
        <v>45.705240000000003</v>
      </c>
      <c r="EW36" s="3">
        <v>93.483280000000008</v>
      </c>
      <c r="FC36" s="32">
        <v>118.98973333333333</v>
      </c>
      <c r="FD36" s="16"/>
    </row>
    <row r="37" spans="3:160" ht="16" x14ac:dyDescent="0.2">
      <c r="C37" s="7" t="s">
        <v>33</v>
      </c>
      <c r="D37" s="3">
        <v>33</v>
      </c>
      <c r="E37" s="3">
        <v>74.921594999999996</v>
      </c>
      <c r="F37" s="3">
        <v>3.15</v>
      </c>
      <c r="G37" s="3">
        <v>2.1800000000000002</v>
      </c>
      <c r="H37" s="3">
        <v>5.7759999999999998</v>
      </c>
      <c r="I37" s="3">
        <v>1090</v>
      </c>
      <c r="J37" s="3">
        <v>887</v>
      </c>
      <c r="K37" s="28">
        <v>32.341000000000001</v>
      </c>
      <c r="L37" s="28">
        <v>29.224</v>
      </c>
      <c r="M37" s="28">
        <v>27.962999999999997</v>
      </c>
      <c r="N37" s="28">
        <v>22.489000000000001</v>
      </c>
      <c r="O37" s="28">
        <v>20.213999999999999</v>
      </c>
      <c r="P37" s="28">
        <v>15.6454</v>
      </c>
      <c r="Q37" s="28">
        <v>11.994999999999999</v>
      </c>
      <c r="R37" s="28">
        <v>9.1713333333333349</v>
      </c>
      <c r="S37" s="28"/>
      <c r="T37" s="28"/>
      <c r="U37" s="28"/>
      <c r="V37" s="28"/>
      <c r="W37" s="28"/>
      <c r="X37"/>
      <c r="Y37"/>
      <c r="Z37"/>
      <c r="AA37"/>
      <c r="AB37"/>
      <c r="AC37"/>
      <c r="AD37" s="23"/>
      <c r="AE37" s="23"/>
      <c r="AF37" s="23"/>
      <c r="AG37" s="23"/>
      <c r="AH37" s="23"/>
      <c r="AI37" s="23"/>
      <c r="AP37" s="24">
        <v>1.587</v>
      </c>
      <c r="AQ37" s="24">
        <v>8.9930000000000003</v>
      </c>
      <c r="AR37" s="24">
        <v>7.2473000000000001</v>
      </c>
      <c r="AS37" s="24">
        <v>27.613800000000001</v>
      </c>
      <c r="AT37" s="24">
        <v>27.684333333333331</v>
      </c>
      <c r="AU37" s="24">
        <v>25.487219999999997</v>
      </c>
      <c r="AV37" s="24">
        <v>87.179199999999994</v>
      </c>
      <c r="AW37" s="24">
        <v>105.9058</v>
      </c>
      <c r="AX37" s="24"/>
      <c r="AY37" s="24"/>
      <c r="AZ37" s="24"/>
      <c r="BA37" s="24"/>
      <c r="BB37" s="24"/>
      <c r="BC37" s="25"/>
      <c r="BD37" s="25"/>
      <c r="BE37" s="25"/>
      <c r="BF37" s="25"/>
      <c r="BG37" s="25"/>
      <c r="BH37" s="25"/>
      <c r="BO37" s="3">
        <v>231</v>
      </c>
      <c r="BP37" s="3">
        <v>188</v>
      </c>
      <c r="BQ37" s="3" t="s">
        <v>156</v>
      </c>
      <c r="BR37" s="3">
        <v>119</v>
      </c>
      <c r="BS37" s="3">
        <v>113.99999999999999</v>
      </c>
      <c r="BV37" s="3">
        <v>14796.078949999999</v>
      </c>
      <c r="BW37" s="3">
        <v>2917.9319300000002</v>
      </c>
      <c r="BX37" s="3">
        <v>2810.7491916666663</v>
      </c>
      <c r="BY37" s="3">
        <v>669.71444329999997</v>
      </c>
      <c r="BZ37" s="3">
        <v>599.86108843333329</v>
      </c>
      <c r="CA37" s="3">
        <v>463.13019942</v>
      </c>
      <c r="CB37" s="3">
        <v>70.855537400000003</v>
      </c>
      <c r="CC37" s="3">
        <v>44.77786777</v>
      </c>
      <c r="CU37" s="3">
        <f t="shared" si="0"/>
        <v>-29592.157899999998</v>
      </c>
      <c r="CV37" s="3">
        <f t="shared" si="4"/>
        <v>-5835.8638600000004</v>
      </c>
      <c r="CW37" s="3">
        <f t="shared" si="8"/>
        <v>-5621.4983833333326</v>
      </c>
      <c r="CX37" s="3">
        <f t="shared" si="12"/>
        <v>-1339.4288865999999</v>
      </c>
      <c r="CY37" s="3">
        <f t="shared" si="16"/>
        <v>-1199.7221768666666</v>
      </c>
      <c r="CZ37" s="3">
        <f t="shared" si="24"/>
        <v>-926.26039883999999</v>
      </c>
      <c r="DA37" s="3">
        <f t="shared" si="20"/>
        <v>-141.71107480000001</v>
      </c>
      <c r="DB37" s="3">
        <f t="shared" si="26"/>
        <v>-89.555735540000001</v>
      </c>
      <c r="DT37" s="3">
        <f t="shared" si="2"/>
        <v>-14796.078949999999</v>
      </c>
      <c r="DU37" s="3">
        <f t="shared" si="6"/>
        <v>-2917.9319300000002</v>
      </c>
      <c r="DV37" s="3">
        <f t="shared" si="10"/>
        <v>-2810.7491916666663</v>
      </c>
      <c r="DW37" s="3">
        <f t="shared" si="14"/>
        <v>-669.71444329999997</v>
      </c>
      <c r="DX37" s="3">
        <f t="shared" si="18"/>
        <v>-599.86108843333329</v>
      </c>
      <c r="DY37" s="3">
        <f t="shared" si="25"/>
        <v>-463.13019942</v>
      </c>
      <c r="DZ37" s="3">
        <f t="shared" si="22"/>
        <v>-70.855537400000003</v>
      </c>
      <c r="EA37" s="3">
        <f t="shared" si="27"/>
        <v>-44.77786777</v>
      </c>
      <c r="ES37" s="3">
        <v>9.7836160000000003</v>
      </c>
      <c r="ET37" s="3">
        <v>18.632399200000002</v>
      </c>
      <c r="EU37" s="3">
        <v>28.361086</v>
      </c>
      <c r="EV37" s="3">
        <v>50.130668</v>
      </c>
      <c r="EW37" s="3">
        <v>62.629652000000007</v>
      </c>
      <c r="EX37" s="3">
        <v>127.58084000000001</v>
      </c>
      <c r="FC37" s="32">
        <v>105.9058</v>
      </c>
      <c r="FD37" s="16"/>
    </row>
    <row r="38" spans="3:160" ht="16" x14ac:dyDescent="0.2">
      <c r="C38" s="7" t="s">
        <v>34</v>
      </c>
      <c r="D38" s="3">
        <v>34</v>
      </c>
      <c r="E38" s="3">
        <v>78.971000000000004</v>
      </c>
      <c r="F38" s="3">
        <v>3.37</v>
      </c>
      <c r="G38" s="3">
        <v>2.5499999999999998</v>
      </c>
      <c r="H38" s="3">
        <v>4.8090000000000002</v>
      </c>
      <c r="I38" s="3">
        <v>493.65</v>
      </c>
      <c r="J38" s="3">
        <v>958</v>
      </c>
      <c r="K38" s="28">
        <v>33.337000000000003</v>
      </c>
      <c r="L38" s="28">
        <v>30.201000000000001</v>
      </c>
      <c r="M38" s="28">
        <v>28.934333333333331</v>
      </c>
      <c r="N38" s="28">
        <v>23.439</v>
      </c>
      <c r="O38" s="28">
        <v>21.169333333333331</v>
      </c>
      <c r="P38" s="28">
        <v>16.779399999999999</v>
      </c>
      <c r="Q38" s="28">
        <v>13.023</v>
      </c>
      <c r="R38" s="28">
        <v>10.025333333333334</v>
      </c>
      <c r="S38" s="28"/>
      <c r="T38" s="28"/>
      <c r="U38" s="28"/>
      <c r="V38" s="28"/>
      <c r="W38" s="28"/>
      <c r="X38"/>
      <c r="Y38"/>
      <c r="Z38"/>
      <c r="AA38"/>
      <c r="AB38"/>
      <c r="AC38"/>
      <c r="AD38" s="23"/>
      <c r="AE38" s="23"/>
      <c r="AF38" s="23"/>
      <c r="AG38" s="23"/>
      <c r="AH38" s="23"/>
      <c r="AI38" s="23"/>
      <c r="AP38" s="24">
        <v>1.5341</v>
      </c>
      <c r="AQ38" s="24">
        <v>8.6755999999999993</v>
      </c>
      <c r="AR38" s="24">
        <v>6.9828000000000001</v>
      </c>
      <c r="AS38" s="24">
        <v>26.555799999999998</v>
      </c>
      <c r="AT38" s="24">
        <v>26.573433333333337</v>
      </c>
      <c r="AU38" s="24">
        <v>24.164720000000003</v>
      </c>
      <c r="AV38" s="24">
        <v>81.095699999999994</v>
      </c>
      <c r="AW38" s="24">
        <v>96.419066666666666</v>
      </c>
      <c r="AX38" s="24"/>
      <c r="AY38" s="24"/>
      <c r="AZ38" s="24"/>
      <c r="BA38" s="24"/>
      <c r="BB38" s="24"/>
      <c r="BC38" s="25"/>
      <c r="BD38" s="25"/>
      <c r="BE38" s="25"/>
      <c r="BF38" s="25"/>
      <c r="BG38" s="25"/>
      <c r="BH38" s="25"/>
      <c r="BO38" s="3">
        <v>224.00000000000003</v>
      </c>
      <c r="BP38" s="3">
        <v>182</v>
      </c>
      <c r="BQ38" s="3" t="s">
        <v>156</v>
      </c>
      <c r="BR38" s="3">
        <v>120</v>
      </c>
      <c r="BS38" s="3">
        <v>103</v>
      </c>
      <c r="BV38" s="3">
        <v>15747.53642</v>
      </c>
      <c r="BW38" s="3">
        <v>3125.5724770000002</v>
      </c>
      <c r="BX38" s="3">
        <v>3009.3295263333334</v>
      </c>
      <c r="BY38" s="3">
        <v>731.50172710000004</v>
      </c>
      <c r="BZ38" s="3">
        <v>658.62926019999998</v>
      </c>
      <c r="CA38" s="3">
        <v>521.59589305999998</v>
      </c>
      <c r="CB38" s="3">
        <v>86.706323600000005</v>
      </c>
      <c r="CC38" s="3">
        <v>56.626300230000005</v>
      </c>
      <c r="CU38" s="3">
        <f t="shared" si="0"/>
        <v>-31495.072840000001</v>
      </c>
      <c r="CV38" s="3">
        <f t="shared" si="4"/>
        <v>-6251.1449540000003</v>
      </c>
      <c r="CW38" s="3">
        <f t="shared" si="8"/>
        <v>-6018.6590526666669</v>
      </c>
      <c r="CX38" s="3">
        <f t="shared" si="12"/>
        <v>-1463.0034542000001</v>
      </c>
      <c r="CY38" s="3">
        <f t="shared" si="16"/>
        <v>-1317.2585204</v>
      </c>
      <c r="CZ38" s="3">
        <f t="shared" si="24"/>
        <v>-1043.19178612</v>
      </c>
      <c r="DA38" s="3">
        <f t="shared" si="20"/>
        <v>-173.41264720000001</v>
      </c>
      <c r="DB38" s="3">
        <f t="shared" si="26"/>
        <v>-113.25260046000001</v>
      </c>
      <c r="DT38" s="3">
        <f t="shared" si="2"/>
        <v>-15747.53642</v>
      </c>
      <c r="DU38" s="3">
        <f t="shared" si="6"/>
        <v>-3125.5724770000002</v>
      </c>
      <c r="DV38" s="3">
        <f t="shared" si="10"/>
        <v>-3009.3295263333334</v>
      </c>
      <c r="DW38" s="3">
        <f t="shared" si="14"/>
        <v>-731.50172710000004</v>
      </c>
      <c r="DX38" s="3">
        <f t="shared" si="18"/>
        <v>-658.62926019999998</v>
      </c>
      <c r="DY38" s="3">
        <f t="shared" si="25"/>
        <v>-521.59589305999998</v>
      </c>
      <c r="DZ38" s="3">
        <f t="shared" si="22"/>
        <v>-86.706323600000005</v>
      </c>
      <c r="EA38" s="3">
        <f t="shared" si="27"/>
        <v>-56.626300230000005</v>
      </c>
      <c r="ES38" s="3">
        <v>9.7514876000000008</v>
      </c>
      <c r="ET38" s="3">
        <v>21.194380000000002</v>
      </c>
      <c r="EU38" s="3">
        <v>30.819426800000002</v>
      </c>
      <c r="EV38" s="3">
        <v>42.943234000000004</v>
      </c>
      <c r="EW38" s="3">
        <v>68.298760000000001</v>
      </c>
      <c r="EX38" s="3">
        <v>81.699412000000009</v>
      </c>
      <c r="EY38" s="3">
        <v>155.35636000000002</v>
      </c>
      <c r="FC38" s="32">
        <v>96.419066666666666</v>
      </c>
      <c r="FD38" s="16"/>
    </row>
    <row r="39" spans="3:160" ht="16" x14ac:dyDescent="0.2">
      <c r="C39" s="7" t="s">
        <v>35</v>
      </c>
      <c r="D39" s="3">
        <v>35</v>
      </c>
      <c r="E39" s="3">
        <v>79.903999999999996</v>
      </c>
      <c r="F39" s="3">
        <v>3.45</v>
      </c>
      <c r="G39" s="3">
        <v>2.96</v>
      </c>
      <c r="H39" s="3">
        <v>3.11</v>
      </c>
      <c r="I39" s="3">
        <v>265.95</v>
      </c>
      <c r="J39" s="3">
        <v>331.95</v>
      </c>
      <c r="K39" s="28">
        <v>34.332999999999998</v>
      </c>
      <c r="L39" s="28">
        <v>31.178999999999998</v>
      </c>
      <c r="M39" s="28">
        <v>29.907</v>
      </c>
      <c r="N39" s="28">
        <v>24.396999999999998</v>
      </c>
      <c r="O39" s="28">
        <v>22.132666666666665</v>
      </c>
      <c r="P39" s="28">
        <v>17.881599999999999</v>
      </c>
      <c r="Q39" s="28">
        <v>14.003</v>
      </c>
      <c r="R39" s="28">
        <v>10.912666666666667</v>
      </c>
      <c r="S39" s="28"/>
      <c r="T39" s="28"/>
      <c r="U39" s="28"/>
      <c r="V39" s="28"/>
      <c r="W39" s="28"/>
      <c r="X39"/>
      <c r="Y39"/>
      <c r="Z39"/>
      <c r="AA39"/>
      <c r="AB39"/>
      <c r="AC39"/>
      <c r="AD39" s="23"/>
      <c r="AE39" s="23"/>
      <c r="AF39" s="23"/>
      <c r="AG39" s="23"/>
      <c r="AH39" s="23"/>
      <c r="AI39" s="23"/>
      <c r="AP39" s="24">
        <v>1.4812000000000001</v>
      </c>
      <c r="AQ39" s="24">
        <v>8.4110999999999994</v>
      </c>
      <c r="AR39" s="24">
        <v>6.7712000000000003</v>
      </c>
      <c r="AS39" s="24">
        <v>25.6036</v>
      </c>
      <c r="AT39" s="24">
        <v>25.515433333333334</v>
      </c>
      <c r="AU39" s="24">
        <v>23.000920000000001</v>
      </c>
      <c r="AV39" s="24">
        <v>76.017300000000006</v>
      </c>
      <c r="AW39" s="24">
        <v>88.801466666666656</v>
      </c>
      <c r="AX39" s="24"/>
      <c r="AY39" s="24"/>
      <c r="AZ39" s="24"/>
      <c r="BA39" s="24"/>
      <c r="BB39" s="24"/>
      <c r="BC39" s="25"/>
      <c r="BD39" s="25"/>
      <c r="BE39" s="25"/>
      <c r="BF39" s="25"/>
      <c r="BG39" s="25"/>
      <c r="BH39" s="25"/>
      <c r="BO39" s="3">
        <v>219</v>
      </c>
      <c r="BP39" s="3">
        <v>186</v>
      </c>
      <c r="BQ39" s="3" t="s">
        <v>156</v>
      </c>
      <c r="BR39" s="3">
        <v>120</v>
      </c>
      <c r="BS39" s="3">
        <v>94</v>
      </c>
      <c r="BV39" s="3">
        <v>16731.546590000002</v>
      </c>
      <c r="BW39" s="3">
        <v>3341.2469120000001</v>
      </c>
      <c r="BX39" s="3">
        <v>3215.0904916666664</v>
      </c>
      <c r="BY39" s="3">
        <v>796.85530779999999</v>
      </c>
      <c r="BZ39" s="3">
        <v>720.88963210000009</v>
      </c>
      <c r="CA39" s="3">
        <v>582.58643303999997</v>
      </c>
      <c r="CB39" s="3">
        <v>103.3606647</v>
      </c>
      <c r="CC39" s="3">
        <v>69.696498433333332</v>
      </c>
      <c r="CU39" s="3">
        <f t="shared" si="0"/>
        <v>-33463.093180000003</v>
      </c>
      <c r="CV39" s="3">
        <f t="shared" si="4"/>
        <v>-6682.4938240000001</v>
      </c>
      <c r="CW39" s="3">
        <f t="shared" si="8"/>
        <v>-6430.1809833333327</v>
      </c>
      <c r="CX39" s="3">
        <f t="shared" si="12"/>
        <v>-1593.7106156</v>
      </c>
      <c r="CY39" s="3">
        <f t="shared" si="16"/>
        <v>-1441.7792642000002</v>
      </c>
      <c r="CZ39" s="3">
        <f t="shared" si="24"/>
        <v>-1165.1728660799999</v>
      </c>
      <c r="DA39" s="3">
        <f t="shared" si="20"/>
        <v>-206.7213294</v>
      </c>
      <c r="DB39" s="3">
        <f t="shared" si="26"/>
        <v>-139.39299686666666</v>
      </c>
      <c r="DT39" s="3">
        <f t="shared" si="2"/>
        <v>-16731.546590000002</v>
      </c>
      <c r="DU39" s="3">
        <f t="shared" ref="DU39:DU70" si="28">-1*BW39</f>
        <v>-3341.2469120000001</v>
      </c>
      <c r="DV39" s="3">
        <f t="shared" si="10"/>
        <v>-3215.0904916666664</v>
      </c>
      <c r="DW39" s="3">
        <f t="shared" si="14"/>
        <v>-796.85530779999999</v>
      </c>
      <c r="DX39" s="3">
        <f t="shared" si="18"/>
        <v>-720.88963210000009</v>
      </c>
      <c r="DY39" s="3">
        <f t="shared" si="25"/>
        <v>-582.58643303999997</v>
      </c>
      <c r="DZ39" s="3">
        <f t="shared" si="22"/>
        <v>-103.3606647</v>
      </c>
      <c r="EA39" s="3">
        <f t="shared" si="27"/>
        <v>-69.696498433333332</v>
      </c>
      <c r="ES39" s="3">
        <v>11.813923600000001</v>
      </c>
      <c r="ET39" s="3">
        <v>21.764400000000002</v>
      </c>
      <c r="EU39" s="3">
        <v>36.274000000000001</v>
      </c>
      <c r="EV39" s="3">
        <v>47.259839999999997</v>
      </c>
      <c r="EW39" s="3">
        <v>59.696640000000002</v>
      </c>
      <c r="EX39" s="3">
        <v>88.612200000000016</v>
      </c>
      <c r="EY39" s="3">
        <v>102.99743200000002</v>
      </c>
      <c r="EZ39" s="3">
        <v>192.77040000000002</v>
      </c>
      <c r="FC39" s="32">
        <v>88.801466666666656</v>
      </c>
      <c r="FD39" s="16"/>
    </row>
    <row r="40" spans="3:160" ht="16" x14ac:dyDescent="0.2">
      <c r="C40" s="7" t="s">
        <v>36</v>
      </c>
      <c r="D40" s="3">
        <v>36</v>
      </c>
      <c r="E40" s="3">
        <v>83.798000000000002</v>
      </c>
      <c r="F40" s="3">
        <v>3.37</v>
      </c>
      <c r="G40" s="3">
        <v>3</v>
      </c>
      <c r="H40" s="3">
        <v>3.7330000000000001</v>
      </c>
      <c r="I40" s="3">
        <v>115.79</v>
      </c>
      <c r="J40" s="3">
        <v>119.93</v>
      </c>
      <c r="K40" s="28">
        <v>35.329000000000001</v>
      </c>
      <c r="L40" s="28">
        <v>32.158000000000001</v>
      </c>
      <c r="M40" s="28">
        <v>30.88</v>
      </c>
      <c r="N40" s="28">
        <v>25.359000000000002</v>
      </c>
      <c r="O40" s="28">
        <v>23.107333333333333</v>
      </c>
      <c r="P40" s="28">
        <v>18.961599999999997</v>
      </c>
      <c r="Q40" s="28">
        <v>14.95</v>
      </c>
      <c r="R40" s="28">
        <v>11.815</v>
      </c>
      <c r="S40" s="28"/>
      <c r="T40" s="28"/>
      <c r="U40" s="28"/>
      <c r="V40" s="28"/>
      <c r="W40" s="28"/>
      <c r="X40"/>
      <c r="Y40"/>
      <c r="Z40"/>
      <c r="AA40"/>
      <c r="AB40"/>
      <c r="AC40"/>
      <c r="AD40" s="23"/>
      <c r="AE40" s="23"/>
      <c r="AF40" s="23"/>
      <c r="AG40" s="23"/>
      <c r="AH40" s="23"/>
      <c r="AI40" s="23"/>
      <c r="AP40" s="24">
        <v>1.4282999999999999</v>
      </c>
      <c r="AQ40" s="24">
        <v>8.1465999999999994</v>
      </c>
      <c r="AR40" s="24">
        <v>6.5595999999999997</v>
      </c>
      <c r="AS40" s="24">
        <v>24.651400000000002</v>
      </c>
      <c r="AT40" s="24">
        <v>24.563233333333333</v>
      </c>
      <c r="AU40" s="24">
        <v>21.911179999999995</v>
      </c>
      <c r="AV40" s="24">
        <v>71.573700000000002</v>
      </c>
      <c r="AW40" s="24">
        <v>82.488733333333329</v>
      </c>
      <c r="AX40" s="24"/>
      <c r="AY40" s="24"/>
      <c r="AZ40" s="24"/>
      <c r="BA40" s="24"/>
      <c r="BB40" s="24"/>
      <c r="BC40" s="25"/>
      <c r="BD40" s="25"/>
      <c r="BE40" s="25"/>
      <c r="BF40" s="25"/>
      <c r="BG40" s="25"/>
      <c r="BH40" s="25"/>
      <c r="BO40" s="3">
        <v>212</v>
      </c>
      <c r="BP40" s="3">
        <v>225</v>
      </c>
      <c r="BQ40" s="3" t="s">
        <v>156</v>
      </c>
      <c r="BR40" s="3">
        <v>116</v>
      </c>
      <c r="BS40" s="3">
        <v>88</v>
      </c>
      <c r="BV40" s="3">
        <v>17748.514370000001</v>
      </c>
      <c r="BW40" s="3">
        <v>3565.0850340000002</v>
      </c>
      <c r="BX40" s="3">
        <v>3428.0979393333332</v>
      </c>
      <c r="BY40" s="3">
        <v>865.7179324</v>
      </c>
      <c r="BZ40" s="3">
        <v>786.8209738666668</v>
      </c>
      <c r="CA40" s="3">
        <v>646.15801085999988</v>
      </c>
      <c r="CB40" s="3">
        <v>120.89102459999999</v>
      </c>
      <c r="CC40" s="3">
        <v>83.64737311333333</v>
      </c>
      <c r="CU40" s="3">
        <f t="shared" si="0"/>
        <v>-35497.028740000002</v>
      </c>
      <c r="CV40" s="3">
        <f t="shared" si="4"/>
        <v>-7130.1700680000004</v>
      </c>
      <c r="CW40" s="3">
        <f t="shared" si="8"/>
        <v>-6856.1958786666664</v>
      </c>
      <c r="CX40" s="3">
        <f t="shared" si="12"/>
        <v>-1731.4358648</v>
      </c>
      <c r="CY40" s="3">
        <f t="shared" si="16"/>
        <v>-1573.6419477333336</v>
      </c>
      <c r="CZ40" s="3">
        <f t="shared" si="24"/>
        <v>-1292.3160217199998</v>
      </c>
      <c r="DA40" s="3">
        <f t="shared" si="20"/>
        <v>-241.78204919999999</v>
      </c>
      <c r="DB40" s="3">
        <f t="shared" si="26"/>
        <v>-167.29474622666666</v>
      </c>
      <c r="DT40" s="3">
        <f t="shared" si="2"/>
        <v>-17748.514370000001</v>
      </c>
      <c r="DU40" s="3">
        <f t="shared" si="28"/>
        <v>-3565.0850340000002</v>
      </c>
      <c r="DV40" s="3">
        <f t="shared" si="10"/>
        <v>-3428.0979393333332</v>
      </c>
      <c r="DW40" s="3">
        <f t="shared" si="14"/>
        <v>-865.7179324</v>
      </c>
      <c r="DX40" s="3">
        <f t="shared" si="18"/>
        <v>-786.8209738666668</v>
      </c>
      <c r="DY40" s="3">
        <f t="shared" si="25"/>
        <v>-646.15801085999988</v>
      </c>
      <c r="DZ40" s="3">
        <f t="shared" si="22"/>
        <v>-120.89102459999999</v>
      </c>
      <c r="EA40" s="3">
        <f t="shared" si="27"/>
        <v>-83.64737311333333</v>
      </c>
      <c r="ES40" s="3">
        <v>13.998654800000001</v>
      </c>
      <c r="ET40" s="3">
        <v>24.3585092</v>
      </c>
      <c r="EU40" s="3">
        <v>36.947659999999999</v>
      </c>
      <c r="EV40" s="3">
        <v>52.545480000000005</v>
      </c>
      <c r="EW40" s="3">
        <v>64.671360000000007</v>
      </c>
      <c r="EX40" s="3">
        <v>78.455480000000009</v>
      </c>
      <c r="EY40" s="3">
        <v>110.99844000000002</v>
      </c>
      <c r="EZ40" s="3">
        <v>126.4408</v>
      </c>
      <c r="FA40" s="3">
        <v>230.90992000000003</v>
      </c>
      <c r="FC40" s="32">
        <v>82.488733333333329</v>
      </c>
      <c r="FD40" s="16"/>
    </row>
    <row r="41" spans="3:160" ht="16" x14ac:dyDescent="0.2">
      <c r="C41" s="7" t="s">
        <v>37</v>
      </c>
      <c r="D41" s="3">
        <v>37</v>
      </c>
      <c r="E41" s="3">
        <v>85.467799999999997</v>
      </c>
      <c r="F41" s="3">
        <v>2.0699999999999998</v>
      </c>
      <c r="G41" s="3">
        <v>0.82</v>
      </c>
      <c r="H41" s="3">
        <v>1.53</v>
      </c>
      <c r="I41" s="3">
        <v>312.45999999999998</v>
      </c>
      <c r="J41" s="3">
        <v>961</v>
      </c>
      <c r="K41" s="28">
        <v>36.325000000000003</v>
      </c>
      <c r="L41" s="28">
        <v>33.139000000000003</v>
      </c>
      <c r="M41" s="28">
        <v>31.853999999999999</v>
      </c>
      <c r="N41" s="28">
        <v>26.331</v>
      </c>
      <c r="O41" s="28">
        <v>24.078999999999997</v>
      </c>
      <c r="P41" s="28">
        <v>20.037200000000002</v>
      </c>
      <c r="Q41" s="28">
        <v>16.241</v>
      </c>
      <c r="R41" s="28">
        <v>13.293666666666667</v>
      </c>
      <c r="S41" s="28"/>
      <c r="T41" s="28"/>
      <c r="U41" s="28">
        <v>6.76</v>
      </c>
      <c r="V41" s="28"/>
      <c r="W41" s="28"/>
      <c r="X41"/>
      <c r="Y41"/>
      <c r="Z41"/>
      <c r="AA41"/>
      <c r="AB41"/>
      <c r="AC41"/>
      <c r="AD41" s="23"/>
      <c r="AE41" s="23"/>
      <c r="AF41" s="23"/>
      <c r="AG41" s="23"/>
      <c r="AH41" s="23"/>
      <c r="AI41" s="23"/>
      <c r="AP41" s="24">
        <v>1.3754</v>
      </c>
      <c r="AQ41" s="24">
        <v>7.9349999999999996</v>
      </c>
      <c r="AR41" s="24">
        <v>6.3479999999999999</v>
      </c>
      <c r="AS41" s="24">
        <v>23.805</v>
      </c>
      <c r="AT41" s="24">
        <v>23.663933333333333</v>
      </c>
      <c r="AU41" s="24">
        <v>20.937819999999999</v>
      </c>
      <c r="AV41" s="24">
        <v>67.182999999999993</v>
      </c>
      <c r="AW41" s="24">
        <v>75.788066666666666</v>
      </c>
      <c r="AX41" s="24"/>
      <c r="AY41" s="24"/>
      <c r="AZ41" s="24">
        <v>244.76829999999998</v>
      </c>
      <c r="BA41" s="24"/>
      <c r="BB41" s="24"/>
      <c r="BC41" s="24"/>
      <c r="BD41" s="24"/>
      <c r="BE41" s="24"/>
      <c r="BF41" s="24"/>
      <c r="BG41" s="24"/>
      <c r="BH41" s="25"/>
      <c r="BO41" s="3">
        <v>240</v>
      </c>
      <c r="BP41" s="3">
        <v>321</v>
      </c>
      <c r="BQ41" s="3">
        <v>248</v>
      </c>
      <c r="BR41" s="3">
        <v>220</v>
      </c>
      <c r="BS41" s="3">
        <v>265</v>
      </c>
      <c r="BV41" s="3">
        <v>18798.871340000002</v>
      </c>
      <c r="BW41" s="3">
        <v>3797.4071220000001</v>
      </c>
      <c r="BX41" s="3">
        <v>3648.4206233333334</v>
      </c>
      <c r="BY41" s="3">
        <v>938.41058650000002</v>
      </c>
      <c r="BZ41" s="3">
        <v>855.72935903333325</v>
      </c>
      <c r="CA41" s="3">
        <v>712.83751514000005</v>
      </c>
      <c r="CB41" s="3">
        <v>146.7740847</v>
      </c>
      <c r="CC41" s="3">
        <v>108.37053083333332</v>
      </c>
      <c r="CF41" s="3">
        <v>8.8169090590000003</v>
      </c>
      <c r="CU41" s="3">
        <f t="shared" si="0"/>
        <v>-37597.742680000003</v>
      </c>
      <c r="CV41" s="3">
        <f t="shared" si="4"/>
        <v>-7594.8142440000001</v>
      </c>
      <c r="CW41" s="3">
        <f t="shared" si="8"/>
        <v>-7296.8412466666668</v>
      </c>
      <c r="CX41" s="3">
        <f t="shared" si="12"/>
        <v>-1876.821173</v>
      </c>
      <c r="CY41" s="3">
        <f t="shared" si="16"/>
        <v>-1711.4587180666665</v>
      </c>
      <c r="CZ41" s="3">
        <f t="shared" si="24"/>
        <v>-1425.6750302800001</v>
      </c>
      <c r="DA41" s="3">
        <f t="shared" si="20"/>
        <v>-293.54816940000001</v>
      </c>
      <c r="DB41" s="3">
        <f t="shared" si="26"/>
        <v>-216.74106166666664</v>
      </c>
      <c r="DE41" s="3">
        <f t="shared" ref="DE41:DE69" si="29">-2*CF41</f>
        <v>-17.633818118000001</v>
      </c>
      <c r="DT41" s="3">
        <f t="shared" si="2"/>
        <v>-18798.871340000002</v>
      </c>
      <c r="DU41" s="3">
        <f t="shared" si="28"/>
        <v>-3797.4071220000001</v>
      </c>
      <c r="DV41" s="3">
        <f t="shared" ref="DV41:DV72" si="30">-1*BX41</f>
        <v>-3648.4206233333334</v>
      </c>
      <c r="DW41" s="3">
        <f t="shared" si="14"/>
        <v>-938.41058650000002</v>
      </c>
      <c r="DX41" s="3">
        <f t="shared" si="18"/>
        <v>-855.72935903333325</v>
      </c>
      <c r="DY41" s="3">
        <f t="shared" si="25"/>
        <v>-712.83751514000005</v>
      </c>
      <c r="DZ41" s="3">
        <f t="shared" si="22"/>
        <v>-146.7740847</v>
      </c>
      <c r="EA41" s="3">
        <f t="shared" si="27"/>
        <v>-108.37053083333332</v>
      </c>
      <c r="ED41" s="3">
        <f t="shared" ref="ED41:ED49" si="31">-1*CF41</f>
        <v>-8.8169090590000003</v>
      </c>
      <c r="ES41" s="3">
        <v>4.176692000000001</v>
      </c>
      <c r="ET41" s="3">
        <v>27.288412000000001</v>
      </c>
      <c r="EU41" s="3">
        <v>40.419600000000003</v>
      </c>
      <c r="EV41" s="3">
        <v>52.649120000000003</v>
      </c>
      <c r="EW41" s="3">
        <v>70.993400000000008</v>
      </c>
      <c r="EX41" s="3">
        <v>84.362960000000015</v>
      </c>
      <c r="EY41" s="3">
        <v>99.183480000000017</v>
      </c>
      <c r="EZ41" s="3">
        <v>135.76840000000001</v>
      </c>
      <c r="FA41" s="3">
        <v>150.27800000000002</v>
      </c>
      <c r="FB41" s="3">
        <v>277.13335999999998</v>
      </c>
      <c r="FC41" s="32">
        <v>244.76829999999998</v>
      </c>
      <c r="FD41" s="16"/>
    </row>
    <row r="42" spans="3:160" ht="16" x14ac:dyDescent="0.2">
      <c r="C42" s="7" t="s">
        <v>38</v>
      </c>
      <c r="D42" s="3">
        <v>38</v>
      </c>
      <c r="E42" s="3">
        <v>87.62</v>
      </c>
      <c r="F42" s="3">
        <v>2.13</v>
      </c>
      <c r="G42" s="3">
        <v>0.95</v>
      </c>
      <c r="H42" s="3">
        <v>2.64</v>
      </c>
      <c r="I42" s="3">
        <v>1050</v>
      </c>
      <c r="J42" s="3">
        <v>1655</v>
      </c>
      <c r="K42" s="28">
        <v>37.322000000000003</v>
      </c>
      <c r="L42" s="28">
        <v>34.121000000000002</v>
      </c>
      <c r="M42" s="28">
        <v>32.829000000000001</v>
      </c>
      <c r="N42" s="28">
        <v>27.308</v>
      </c>
      <c r="O42" s="28">
        <v>25.054333333333336</v>
      </c>
      <c r="P42" s="28">
        <v>21.1036</v>
      </c>
      <c r="Q42" s="28">
        <v>17.503</v>
      </c>
      <c r="R42" s="28">
        <v>14.62</v>
      </c>
      <c r="S42" s="28"/>
      <c r="T42" s="28"/>
      <c r="U42" s="28">
        <v>8.2100000000000009</v>
      </c>
      <c r="V42" s="28"/>
      <c r="W42"/>
      <c r="X42" s="28"/>
      <c r="Y42"/>
      <c r="Z42"/>
      <c r="AA42" s="28"/>
      <c r="AB42"/>
      <c r="AC42"/>
      <c r="AD42" s="23"/>
      <c r="AE42" s="23"/>
      <c r="AF42" s="23"/>
      <c r="AG42" s="23"/>
      <c r="AH42" s="23"/>
      <c r="AI42" s="23"/>
      <c r="AP42" s="24">
        <v>1.3754</v>
      </c>
      <c r="AQ42" s="24">
        <v>7.6704999999999997</v>
      </c>
      <c r="AR42" s="24">
        <v>6.1364000000000001</v>
      </c>
      <c r="AS42" s="24">
        <v>23.011499999999998</v>
      </c>
      <c r="AT42" s="24">
        <v>22.817533333333333</v>
      </c>
      <c r="AU42" s="24">
        <v>20.05968</v>
      </c>
      <c r="AV42" s="24">
        <v>63.268399999999993</v>
      </c>
      <c r="AW42" s="24">
        <v>70.392266666666657</v>
      </c>
      <c r="AX42" s="24"/>
      <c r="AY42" s="24"/>
      <c r="AZ42" s="24">
        <v>201.17869999999999</v>
      </c>
      <c r="BA42" s="24"/>
      <c r="BB42" s="24"/>
      <c r="BC42" s="24"/>
      <c r="BD42" s="24"/>
      <c r="BE42" s="24"/>
      <c r="BF42" s="24"/>
      <c r="BG42" s="24"/>
      <c r="BH42" s="25"/>
      <c r="BO42" s="3">
        <v>279</v>
      </c>
      <c r="BP42" s="3">
        <v>284</v>
      </c>
      <c r="BQ42" s="3">
        <v>215</v>
      </c>
      <c r="BR42" s="3">
        <v>195</v>
      </c>
      <c r="BS42" s="3">
        <v>219</v>
      </c>
      <c r="BV42" s="3">
        <v>19883.024570000001</v>
      </c>
      <c r="BW42" s="3">
        <v>4038.2910000000002</v>
      </c>
      <c r="BX42" s="3">
        <v>3876.1315606666667</v>
      </c>
      <c r="BY42" s="3">
        <v>1014.838139</v>
      </c>
      <c r="BZ42" s="3">
        <v>927.95004073333337</v>
      </c>
      <c r="CA42" s="3">
        <v>782.47254036000004</v>
      </c>
      <c r="CB42" s="3">
        <v>175.23813380000001</v>
      </c>
      <c r="CC42" s="3">
        <v>134.41110043333333</v>
      </c>
      <c r="CF42" s="3">
        <v>15.42079382</v>
      </c>
      <c r="CU42" s="3">
        <f t="shared" si="0"/>
        <v>-39766.049140000003</v>
      </c>
      <c r="CV42" s="3">
        <f t="shared" si="4"/>
        <v>-8076.5820000000003</v>
      </c>
      <c r="CW42" s="3">
        <f t="shared" si="8"/>
        <v>-7752.2631213333334</v>
      </c>
      <c r="CX42" s="3">
        <f t="shared" si="12"/>
        <v>-2029.6762779999999</v>
      </c>
      <c r="CY42" s="3">
        <f t="shared" si="16"/>
        <v>-1855.9000814666667</v>
      </c>
      <c r="CZ42" s="3">
        <f t="shared" si="24"/>
        <v>-1564.9450807200001</v>
      </c>
      <c r="DA42" s="3">
        <f t="shared" si="20"/>
        <v>-350.47626760000003</v>
      </c>
      <c r="DB42" s="3">
        <f t="shared" si="26"/>
        <v>-268.82220086666666</v>
      </c>
      <c r="DE42" s="3">
        <f t="shared" si="29"/>
        <v>-30.84158764</v>
      </c>
      <c r="DT42" s="3">
        <f t="shared" si="2"/>
        <v>-19883.024570000001</v>
      </c>
      <c r="DU42" s="3">
        <f t="shared" si="28"/>
        <v>-4038.2910000000002</v>
      </c>
      <c r="DV42" s="3">
        <f t="shared" si="30"/>
        <v>-3876.1315606666667</v>
      </c>
      <c r="DW42" s="3">
        <f t="shared" si="14"/>
        <v>-1014.838139</v>
      </c>
      <c r="DX42" s="3">
        <f t="shared" si="18"/>
        <v>-927.95004073333337</v>
      </c>
      <c r="DY42" s="3">
        <f t="shared" si="25"/>
        <v>-782.47254036000004</v>
      </c>
      <c r="DZ42" s="3">
        <f t="shared" si="22"/>
        <v>-175.23813380000001</v>
      </c>
      <c r="EA42" s="3">
        <f t="shared" si="27"/>
        <v>-134.41110043333333</v>
      </c>
      <c r="ED42" s="3">
        <f t="shared" si="31"/>
        <v>-15.42079382</v>
      </c>
      <c r="ES42" s="3">
        <v>5.6950180000000001</v>
      </c>
      <c r="ET42" s="3">
        <v>11.030405200000001</v>
      </c>
      <c r="EU42" s="3">
        <v>43.632440000000003</v>
      </c>
      <c r="EV42" s="3">
        <v>57.002000000000002</v>
      </c>
      <c r="EW42" s="3">
        <v>71.61524</v>
      </c>
      <c r="EX42" s="3">
        <v>90.788640000000001</v>
      </c>
      <c r="EY42" s="3">
        <v>105.7128</v>
      </c>
      <c r="EZ42" s="3">
        <v>122.29520000000002</v>
      </c>
      <c r="FA42" s="3">
        <v>161.67840000000001</v>
      </c>
      <c r="FB42" s="3">
        <v>177.22440000000003</v>
      </c>
      <c r="FC42" s="32">
        <v>201.17869999999999</v>
      </c>
      <c r="FD42" s="16"/>
    </row>
    <row r="43" spans="3:160" ht="16" x14ac:dyDescent="0.2">
      <c r="C43" s="7" t="s">
        <v>39</v>
      </c>
      <c r="D43" s="3">
        <v>39</v>
      </c>
      <c r="E43" s="3">
        <v>88.905838000000003</v>
      </c>
      <c r="F43" s="3">
        <v>2.52</v>
      </c>
      <c r="G43" s="3">
        <v>1.22</v>
      </c>
      <c r="H43" s="3">
        <v>4.47</v>
      </c>
      <c r="I43" s="3">
        <v>1795</v>
      </c>
      <c r="J43" s="3">
        <v>3618</v>
      </c>
      <c r="K43" s="28">
        <v>38.317999999999998</v>
      </c>
      <c r="L43" s="28">
        <v>35.104999999999997</v>
      </c>
      <c r="M43" s="28">
        <v>33.80466666666667</v>
      </c>
      <c r="N43" s="28">
        <v>28.285</v>
      </c>
      <c r="O43" s="28">
        <v>26.029666666666667</v>
      </c>
      <c r="P43" s="28">
        <v>22.163800000000002</v>
      </c>
      <c r="Q43" s="28">
        <v>18.574000000000002</v>
      </c>
      <c r="R43" s="28">
        <v>15.692333333333332</v>
      </c>
      <c r="S43" s="28">
        <v>8.4009999999999998</v>
      </c>
      <c r="T43" s="28"/>
      <c r="U43" s="28">
        <v>8.891</v>
      </c>
      <c r="V43" s="28"/>
      <c r="W43"/>
      <c r="X43" s="28"/>
      <c r="Y43"/>
      <c r="Z43"/>
      <c r="AA43" s="28"/>
      <c r="AB43"/>
      <c r="AC43"/>
      <c r="AD43" s="23"/>
      <c r="AE43" s="23"/>
      <c r="AF43" s="23"/>
      <c r="AG43" s="23"/>
      <c r="AH43" s="23"/>
      <c r="AI43" s="23"/>
      <c r="AP43" s="24">
        <v>1.3225</v>
      </c>
      <c r="AQ43" s="24">
        <v>7.458899999999999</v>
      </c>
      <c r="AR43" s="24">
        <v>5.9776999999999996</v>
      </c>
      <c r="AS43" s="24">
        <v>22.270899999999997</v>
      </c>
      <c r="AT43" s="24">
        <v>22.024033333333332</v>
      </c>
      <c r="AU43" s="24">
        <v>19.24502</v>
      </c>
      <c r="AV43" s="24">
        <v>60.041499999999999</v>
      </c>
      <c r="AW43" s="24">
        <v>66.160266666666658</v>
      </c>
      <c r="AX43" s="24">
        <v>95.272899999999993</v>
      </c>
      <c r="AY43" s="24"/>
      <c r="AZ43" s="24">
        <v>185.15</v>
      </c>
      <c r="BA43" s="24"/>
      <c r="BB43" s="24"/>
      <c r="BC43" s="24"/>
      <c r="BD43" s="24"/>
      <c r="BE43" s="24"/>
      <c r="BF43" s="24"/>
      <c r="BG43" s="24"/>
      <c r="BH43" s="25"/>
      <c r="BO43" s="3">
        <v>274</v>
      </c>
      <c r="BP43" s="3">
        <v>275</v>
      </c>
      <c r="BQ43" s="3">
        <v>180</v>
      </c>
      <c r="BR43" s="3">
        <v>190</v>
      </c>
      <c r="BS43" s="3">
        <v>212</v>
      </c>
      <c r="BV43" s="3">
        <v>21001.49136</v>
      </c>
      <c r="BW43" s="3">
        <v>4287.7734019999998</v>
      </c>
      <c r="BX43" s="3">
        <v>4111.3162856666668</v>
      </c>
      <c r="BY43" s="3">
        <v>1094.476118</v>
      </c>
      <c r="BZ43" s="3">
        <v>1003.3250571333334</v>
      </c>
      <c r="CA43" s="3">
        <v>855.15917530000002</v>
      </c>
      <c r="CB43" s="3">
        <v>201.98766699999999</v>
      </c>
      <c r="CC43" s="3">
        <v>158.17855893333333</v>
      </c>
      <c r="CD43" s="3">
        <v>60.222313640000003</v>
      </c>
      <c r="CF43" s="3">
        <v>18.948144559999999</v>
      </c>
      <c r="CU43" s="3">
        <f t="shared" si="0"/>
        <v>-42002.98272</v>
      </c>
      <c r="CV43" s="3">
        <f t="shared" si="4"/>
        <v>-8575.5468039999996</v>
      </c>
      <c r="CW43" s="3">
        <f t="shared" si="8"/>
        <v>-8222.6325713333335</v>
      </c>
      <c r="CX43" s="3">
        <f t="shared" si="12"/>
        <v>-2188.9522360000001</v>
      </c>
      <c r="CY43" s="3">
        <f t="shared" si="16"/>
        <v>-2006.6501142666668</v>
      </c>
      <c r="CZ43" s="3">
        <f t="shared" si="24"/>
        <v>-1710.3183506</v>
      </c>
      <c r="DA43" s="3">
        <f t="shared" si="20"/>
        <v>-403.97533399999998</v>
      </c>
      <c r="DB43" s="3">
        <f t="shared" si="26"/>
        <v>-316.35711786666667</v>
      </c>
      <c r="DC43" s="3">
        <f t="shared" ref="DC43:DC69" si="32">-2*CD43</f>
        <v>-120.44462728000001</v>
      </c>
      <c r="DE43" s="3">
        <f t="shared" si="29"/>
        <v>-37.896289119999999</v>
      </c>
      <c r="DT43" s="3">
        <f t="shared" si="2"/>
        <v>-21001.49136</v>
      </c>
      <c r="DU43" s="3">
        <f t="shared" si="28"/>
        <v>-4287.7734019999998</v>
      </c>
      <c r="DV43" s="3">
        <f t="shared" si="30"/>
        <v>-4111.3162856666668</v>
      </c>
      <c r="DW43" s="3">
        <f t="shared" si="14"/>
        <v>-1094.476118</v>
      </c>
      <c r="DX43" s="3">
        <f t="shared" si="18"/>
        <v>-1003.3250571333334</v>
      </c>
      <c r="DY43" s="3">
        <f t="shared" si="25"/>
        <v>-855.15917530000002</v>
      </c>
      <c r="DZ43" s="3">
        <f t="shared" si="22"/>
        <v>-201.98766699999999</v>
      </c>
      <c r="EA43" s="3">
        <f t="shared" si="27"/>
        <v>-158.17855893333333</v>
      </c>
      <c r="EB43" s="3">
        <f>-1*CD43</f>
        <v>-60.222313640000003</v>
      </c>
      <c r="ED43" s="3">
        <f t="shared" si="31"/>
        <v>-18.948144559999999</v>
      </c>
      <c r="ES43" s="3">
        <v>6.3842240000000006</v>
      </c>
      <c r="ET43" s="3">
        <v>12.239884000000002</v>
      </c>
      <c r="EU43" s="3">
        <v>20.520720000000001</v>
      </c>
      <c r="EV43" s="3">
        <v>61.769440000000003</v>
      </c>
      <c r="EW43" s="3">
        <v>77.004519999999999</v>
      </c>
      <c r="EX43" s="3">
        <v>92.965080000000015</v>
      </c>
      <c r="EY43" s="3">
        <v>116.07680000000001</v>
      </c>
      <c r="EZ43" s="3">
        <v>128.51360000000003</v>
      </c>
      <c r="FA43" s="3">
        <v>146.23604</v>
      </c>
      <c r="FB43" s="3">
        <v>190.69759999999999</v>
      </c>
      <c r="FC43" s="32">
        <v>185.15</v>
      </c>
      <c r="FD43" s="16"/>
    </row>
    <row r="44" spans="3:160" ht="16" x14ac:dyDescent="0.2">
      <c r="C44" s="7" t="s">
        <v>40</v>
      </c>
      <c r="D44" s="3">
        <v>40</v>
      </c>
      <c r="E44" s="3">
        <v>91.221999999999994</v>
      </c>
      <c r="F44" s="3">
        <v>2.0499999999999998</v>
      </c>
      <c r="G44" s="3">
        <v>1.33</v>
      </c>
      <c r="H44" s="3">
        <v>6.52</v>
      </c>
      <c r="I44" s="3">
        <v>2128</v>
      </c>
      <c r="J44" s="3">
        <v>4682</v>
      </c>
      <c r="K44" s="28">
        <v>39.314999999999998</v>
      </c>
      <c r="L44" s="28">
        <v>36.088999999999999</v>
      </c>
      <c r="M44" s="28">
        <v>34.781666666666666</v>
      </c>
      <c r="N44" s="28">
        <v>29.263999999999999</v>
      </c>
      <c r="O44" s="28">
        <v>27.004666666666669</v>
      </c>
      <c r="P44" s="28">
        <v>23.212</v>
      </c>
      <c r="Q44" s="28">
        <v>19.574999999999999</v>
      </c>
      <c r="R44" s="28">
        <v>16.672000000000001</v>
      </c>
      <c r="S44" s="28">
        <v>9.7692000000000014</v>
      </c>
      <c r="T44" s="28"/>
      <c r="U44" s="28">
        <v>9.3719999999999999</v>
      </c>
      <c r="V44" s="28"/>
      <c r="W44" s="28"/>
      <c r="X44"/>
      <c r="Y44"/>
      <c r="Z44"/>
      <c r="AA44" s="28"/>
      <c r="AB44"/>
      <c r="AC44"/>
      <c r="AD44" s="23"/>
      <c r="AE44" s="23"/>
      <c r="AF44" s="23"/>
      <c r="AG44" s="23"/>
      <c r="AH44" s="23"/>
      <c r="AI44" s="23"/>
      <c r="AP44" s="24">
        <v>1.2696000000000001</v>
      </c>
      <c r="AQ44" s="24">
        <v>7.2473000000000001</v>
      </c>
      <c r="AR44" s="24">
        <v>5.8013666666666674</v>
      </c>
      <c r="AS44" s="24">
        <v>21.583199999999998</v>
      </c>
      <c r="AT44" s="24">
        <v>21.3187</v>
      </c>
      <c r="AU44" s="24">
        <v>18.472679999999997</v>
      </c>
      <c r="AV44" s="24">
        <v>57.2378</v>
      </c>
      <c r="AW44" s="24">
        <v>62.598333333333329</v>
      </c>
      <c r="AX44" s="24">
        <v>85.020880000000005</v>
      </c>
      <c r="AY44" s="24"/>
      <c r="AZ44" s="24">
        <v>174.83449999999999</v>
      </c>
      <c r="BA44" s="24"/>
      <c r="BB44" s="24"/>
      <c r="BC44" s="24"/>
      <c r="BD44" s="24"/>
      <c r="BE44" s="24"/>
      <c r="BF44" s="24"/>
      <c r="BG44" s="24"/>
      <c r="BH44" s="25"/>
      <c r="BO44" s="3">
        <v>268</v>
      </c>
      <c r="BP44" s="3">
        <v>252</v>
      </c>
      <c r="BQ44" s="3">
        <v>160</v>
      </c>
      <c r="BR44" s="3">
        <v>175</v>
      </c>
      <c r="BS44" s="3">
        <v>206</v>
      </c>
      <c r="BV44" s="3">
        <v>22154.67281</v>
      </c>
      <c r="BW44" s="3">
        <v>4545.9990950000001</v>
      </c>
      <c r="BX44" s="3">
        <v>4353.9891303333334</v>
      </c>
      <c r="BY44" s="3">
        <v>1177.466539</v>
      </c>
      <c r="BZ44" s="3">
        <v>1081.7512220000001</v>
      </c>
      <c r="CA44" s="3">
        <v>930.597039</v>
      </c>
      <c r="CB44" s="3">
        <v>228.76866469999999</v>
      </c>
      <c r="CC44" s="3">
        <v>181.68959456666667</v>
      </c>
      <c r="CD44" s="3">
        <v>80.762463740000001</v>
      </c>
      <c r="CF44" s="3">
        <v>21.50028365</v>
      </c>
      <c r="CU44" s="3">
        <f t="shared" si="0"/>
        <v>-44309.34562</v>
      </c>
      <c r="CV44" s="3">
        <f t="shared" si="4"/>
        <v>-9091.9981900000002</v>
      </c>
      <c r="CW44" s="3">
        <f t="shared" si="8"/>
        <v>-8707.9782606666668</v>
      </c>
      <c r="CX44" s="3">
        <f t="shared" si="12"/>
        <v>-2354.933078</v>
      </c>
      <c r="CY44" s="3">
        <f t="shared" si="16"/>
        <v>-2163.5024440000002</v>
      </c>
      <c r="CZ44" s="3">
        <f t="shared" si="24"/>
        <v>-1861.194078</v>
      </c>
      <c r="DA44" s="3">
        <f t="shared" si="20"/>
        <v>-457.53732939999998</v>
      </c>
      <c r="DB44" s="3">
        <f t="shared" si="26"/>
        <v>-363.37918913333334</v>
      </c>
      <c r="DE44" s="3">
        <f t="shared" si="29"/>
        <v>-43.0005673</v>
      </c>
      <c r="DT44" s="3">
        <f t="shared" si="2"/>
        <v>-22154.67281</v>
      </c>
      <c r="DU44" s="3">
        <f t="shared" si="28"/>
        <v>-4545.9990950000001</v>
      </c>
      <c r="DV44" s="3">
        <f t="shared" si="30"/>
        <v>-4353.9891303333334</v>
      </c>
      <c r="DW44" s="3">
        <f t="shared" si="14"/>
        <v>-1177.466539</v>
      </c>
      <c r="DX44" s="3">
        <f t="shared" si="18"/>
        <v>-1081.7512220000001</v>
      </c>
      <c r="DY44" s="3">
        <f t="shared" si="25"/>
        <v>-930.597039</v>
      </c>
      <c r="DZ44" s="3">
        <f t="shared" si="22"/>
        <v>-228.76866469999999</v>
      </c>
      <c r="EA44" s="3">
        <f t="shared" si="27"/>
        <v>-181.68959456666667</v>
      </c>
      <c r="ED44" s="3">
        <f t="shared" si="31"/>
        <v>-21.50028365</v>
      </c>
      <c r="ES44" s="3">
        <v>6.8402400000000005</v>
      </c>
      <c r="ET44" s="3">
        <v>13.131188</v>
      </c>
      <c r="EU44" s="3">
        <v>22.987352000000001</v>
      </c>
      <c r="EV44" s="3">
        <v>34.335932000000007</v>
      </c>
      <c r="EW44" s="3">
        <v>81.461040000000011</v>
      </c>
      <c r="FC44" s="32">
        <v>174.83449999999999</v>
      </c>
      <c r="FD44" s="16"/>
    </row>
    <row r="45" spans="3:160" ht="16" x14ac:dyDescent="0.2">
      <c r="C45" s="7" t="s">
        <v>41</v>
      </c>
      <c r="D45" s="3">
        <v>41</v>
      </c>
      <c r="E45" s="3">
        <v>92.906369999999995</v>
      </c>
      <c r="F45" s="3">
        <v>2.59</v>
      </c>
      <c r="G45" s="3">
        <v>1.6</v>
      </c>
      <c r="H45" s="3">
        <v>8.57</v>
      </c>
      <c r="I45" s="3">
        <v>2750</v>
      </c>
      <c r="J45" s="3">
        <v>5017</v>
      </c>
      <c r="K45" s="28">
        <v>40.311</v>
      </c>
      <c r="L45" s="28">
        <v>37.073999999999998</v>
      </c>
      <c r="M45" s="28">
        <v>35.758333333333333</v>
      </c>
      <c r="N45" s="28">
        <v>30.24</v>
      </c>
      <c r="O45" s="28">
        <v>27.977999999999998</v>
      </c>
      <c r="P45" s="28">
        <v>24.253400000000003</v>
      </c>
      <c r="Q45" s="28">
        <v>20.463000000000001</v>
      </c>
      <c r="R45" s="28">
        <v>17.470333333333333</v>
      </c>
      <c r="S45" s="28">
        <v>9.9265999999999988</v>
      </c>
      <c r="T45" s="28"/>
      <c r="U45" s="28">
        <v>9.7509999999999994</v>
      </c>
      <c r="V45" s="28"/>
      <c r="W45" s="28"/>
      <c r="X45" s="28"/>
      <c r="Y45"/>
      <c r="Z45"/>
      <c r="AA45" s="28"/>
      <c r="AB45" s="28"/>
      <c r="AC45"/>
      <c r="AD45" s="23"/>
      <c r="AE45" s="23"/>
      <c r="AF45" s="23"/>
      <c r="AG45" s="23"/>
      <c r="AH45" s="23"/>
      <c r="AI45" s="23"/>
      <c r="AP45" s="24">
        <v>1.2696000000000001</v>
      </c>
      <c r="AQ45" s="24">
        <v>7.0357000000000003</v>
      </c>
      <c r="AR45" s="24">
        <v>5.6426666666666669</v>
      </c>
      <c r="AS45" s="24">
        <v>20.895500000000002</v>
      </c>
      <c r="AT45" s="24">
        <v>20.630999999999997</v>
      </c>
      <c r="AU45" s="24">
        <v>17.784979999999997</v>
      </c>
      <c r="AV45" s="24">
        <v>54.804400000000001</v>
      </c>
      <c r="AW45" s="24">
        <v>59.688833333333328</v>
      </c>
      <c r="AX45" s="24">
        <v>80.143499999999989</v>
      </c>
      <c r="AY45" s="24"/>
      <c r="AZ45" s="24">
        <v>167.90459999999999</v>
      </c>
      <c r="BA45" s="24"/>
      <c r="BB45" s="24"/>
      <c r="BC45" s="24"/>
      <c r="BD45" s="24"/>
      <c r="BE45" s="24"/>
      <c r="BF45" s="24"/>
      <c r="BG45" s="24"/>
      <c r="BH45" s="25"/>
      <c r="BO45" s="3">
        <v>250.99999999999997</v>
      </c>
      <c r="BP45" s="3">
        <v>256</v>
      </c>
      <c r="BQ45" s="3">
        <v>146</v>
      </c>
      <c r="BR45" s="3">
        <v>164</v>
      </c>
      <c r="BS45" s="3">
        <v>198</v>
      </c>
      <c r="BV45" s="3">
        <v>23343.084009999999</v>
      </c>
      <c r="BW45" s="3">
        <v>4813.0644060000004</v>
      </c>
      <c r="BX45" s="3">
        <v>4604.2408896666666</v>
      </c>
      <c r="BY45" s="3">
        <v>1263.539548</v>
      </c>
      <c r="BZ45" s="3">
        <v>1163.1526350000001</v>
      </c>
      <c r="CA45" s="3">
        <v>1008.9518594000001</v>
      </c>
      <c r="CB45" s="3">
        <v>253.837065</v>
      </c>
      <c r="CC45" s="3">
        <v>202.4622244</v>
      </c>
      <c r="CD45" s="3">
        <v>86.967118044000003</v>
      </c>
      <c r="CF45" s="3">
        <v>23.202631629999999</v>
      </c>
      <c r="CU45" s="3">
        <f t="shared" si="0"/>
        <v>-46686.168019999997</v>
      </c>
      <c r="CV45" s="3">
        <f t="shared" si="4"/>
        <v>-9626.1288120000008</v>
      </c>
      <c r="CW45" s="3">
        <f t="shared" si="8"/>
        <v>-9208.4817793333332</v>
      </c>
      <c r="CX45" s="3">
        <f t="shared" si="12"/>
        <v>-2527.0790959999999</v>
      </c>
      <c r="CY45" s="3">
        <f t="shared" si="16"/>
        <v>-2326.3052700000003</v>
      </c>
      <c r="CZ45" s="3">
        <f t="shared" si="24"/>
        <v>-2017.9037188000002</v>
      </c>
      <c r="DA45" s="3">
        <f t="shared" si="20"/>
        <v>-507.67412999999999</v>
      </c>
      <c r="DB45" s="3">
        <f t="shared" si="26"/>
        <v>-404.92444879999999</v>
      </c>
      <c r="DC45" s="3">
        <f t="shared" si="32"/>
        <v>-173.93423608800001</v>
      </c>
      <c r="DE45" s="3">
        <f t="shared" si="29"/>
        <v>-46.405263259999998</v>
      </c>
      <c r="DT45" s="3">
        <f t="shared" si="2"/>
        <v>-23343.084009999999</v>
      </c>
      <c r="DU45" s="3">
        <f t="shared" si="28"/>
        <v>-4813.0644060000004</v>
      </c>
      <c r="DV45" s="3">
        <f t="shared" si="30"/>
        <v>-4604.2408896666666</v>
      </c>
      <c r="DW45" s="3">
        <f t="shared" si="14"/>
        <v>-1263.539548</v>
      </c>
      <c r="DX45" s="3">
        <f t="shared" si="18"/>
        <v>-1163.1526350000001</v>
      </c>
      <c r="DY45" s="3">
        <f t="shared" si="25"/>
        <v>-1008.9518594000001</v>
      </c>
      <c r="DZ45" s="3">
        <f t="shared" si="22"/>
        <v>-253.837065</v>
      </c>
      <c r="EA45" s="3">
        <f t="shared" si="27"/>
        <v>-202.4622244</v>
      </c>
      <c r="EB45" s="3">
        <f t="shared" ref="EB45:EB76" si="33">-1*CD45</f>
        <v>-86.967118044000003</v>
      </c>
      <c r="ED45" s="3">
        <f t="shared" si="31"/>
        <v>-23.202631629999999</v>
      </c>
      <c r="ES45" s="3">
        <v>6.8816960000000007</v>
      </c>
      <c r="ET45" s="3">
        <v>14.323048</v>
      </c>
      <c r="EU45" s="3">
        <v>25.039424</v>
      </c>
      <c r="EV45" s="3">
        <v>38.243160000000003</v>
      </c>
      <c r="EW45" s="3">
        <v>50.545228000000002</v>
      </c>
      <c r="EX45" s="3">
        <v>102.60360000000001</v>
      </c>
      <c r="EY45" s="3">
        <v>125.40440000000001</v>
      </c>
      <c r="FC45" s="32">
        <v>167.90459999999999</v>
      </c>
      <c r="FD45" s="16"/>
    </row>
    <row r="46" spans="3:160" ht="16" x14ac:dyDescent="0.2">
      <c r="C46" s="7" t="s">
        <v>42</v>
      </c>
      <c r="D46" s="3">
        <v>42</v>
      </c>
      <c r="E46" s="3">
        <v>95.95</v>
      </c>
      <c r="F46" s="3">
        <v>2.4700000000000002</v>
      </c>
      <c r="G46" s="3">
        <v>2.16</v>
      </c>
      <c r="H46" s="3">
        <v>10.199999999999999</v>
      </c>
      <c r="I46" s="3">
        <v>2896</v>
      </c>
      <c r="J46" s="3">
        <v>4912</v>
      </c>
      <c r="K46" s="28">
        <v>41.308</v>
      </c>
      <c r="L46" s="28">
        <v>38.06</v>
      </c>
      <c r="M46" s="28">
        <v>36.735333333333337</v>
      </c>
      <c r="N46" s="28">
        <v>31.22</v>
      </c>
      <c r="O46" s="28">
        <v>28.95</v>
      </c>
      <c r="P46" s="28">
        <v>25.2836</v>
      </c>
      <c r="Q46" s="28">
        <v>21.402999999999999</v>
      </c>
      <c r="R46" s="28">
        <v>18.368333333333332</v>
      </c>
      <c r="S46" s="28">
        <v>11.007200000000001</v>
      </c>
      <c r="T46" s="28"/>
      <c r="U46" s="28">
        <v>10.162000000000001</v>
      </c>
      <c r="V46" s="28"/>
      <c r="W46" s="28"/>
      <c r="X46" s="28"/>
      <c r="Y46"/>
      <c r="Z46"/>
      <c r="AA46" s="28"/>
      <c r="AB46" s="28"/>
      <c r="AC46"/>
      <c r="AD46" s="23"/>
      <c r="AE46" s="23"/>
      <c r="AF46" s="23"/>
      <c r="AG46" s="23"/>
      <c r="AH46" s="23"/>
      <c r="AI46" s="23"/>
      <c r="AP46" s="24">
        <v>1.2166999999999999</v>
      </c>
      <c r="AQ46" s="24">
        <v>6.8769999999999998</v>
      </c>
      <c r="AR46" s="24">
        <v>5.4839666666666664</v>
      </c>
      <c r="AS46" s="24">
        <v>20.2607</v>
      </c>
      <c r="AT46" s="24">
        <v>19.960933333333333</v>
      </c>
      <c r="AU46" s="24">
        <v>17.129020000000004</v>
      </c>
      <c r="AV46" s="24">
        <v>52.476799999999997</v>
      </c>
      <c r="AW46" s="24">
        <v>56.93803333333333</v>
      </c>
      <c r="AX46" s="24">
        <v>73.80607999999998</v>
      </c>
      <c r="AY46" s="24"/>
      <c r="AZ46" s="24">
        <v>160.18119999999999</v>
      </c>
      <c r="BA46" s="24"/>
      <c r="BB46" s="24"/>
      <c r="BC46" s="24"/>
      <c r="BD46" s="24"/>
      <c r="BE46" s="24"/>
      <c r="BF46" s="24"/>
      <c r="BG46" s="24"/>
      <c r="BH46" s="25"/>
      <c r="BO46" s="3">
        <v>244</v>
      </c>
      <c r="BP46" s="3">
        <v>245.00000000000003</v>
      </c>
      <c r="BQ46" s="3">
        <v>139</v>
      </c>
      <c r="BR46" s="3">
        <v>154</v>
      </c>
      <c r="BS46" s="3">
        <v>190</v>
      </c>
      <c r="BV46" s="3">
        <v>24567.03818</v>
      </c>
      <c r="BW46" s="3">
        <v>5089.2131479999998</v>
      </c>
      <c r="BX46" s="3">
        <v>4862.0648516666661</v>
      </c>
      <c r="BY46" s="3">
        <v>1353.36087</v>
      </c>
      <c r="BZ46" s="3">
        <v>1247.6676103333332</v>
      </c>
      <c r="CA46" s="3">
        <v>1089.9118163999999</v>
      </c>
      <c r="CB46" s="3">
        <v>281.84547300000003</v>
      </c>
      <c r="CC46" s="3">
        <v>226.69906930000002</v>
      </c>
      <c r="CD46" s="3">
        <v>106.52610293999999</v>
      </c>
      <c r="CF46" s="3">
        <v>25.571951039999998</v>
      </c>
      <c r="CU46" s="3">
        <f t="shared" si="0"/>
        <v>-49134.076359999999</v>
      </c>
      <c r="CV46" s="3">
        <f t="shared" si="4"/>
        <v>-10178.426296</v>
      </c>
      <c r="CW46" s="3">
        <f t="shared" si="8"/>
        <v>-9724.1297033333321</v>
      </c>
      <c r="CX46" s="3">
        <f t="shared" si="12"/>
        <v>-2706.72174</v>
      </c>
      <c r="CY46" s="3">
        <f t="shared" si="16"/>
        <v>-2495.3352206666664</v>
      </c>
      <c r="CZ46" s="3">
        <f t="shared" si="24"/>
        <v>-2179.8236327999998</v>
      </c>
      <c r="DA46" s="3">
        <f t="shared" si="20"/>
        <v>-563.69094600000005</v>
      </c>
      <c r="DB46" s="3">
        <f t="shared" si="26"/>
        <v>-453.39813860000004</v>
      </c>
      <c r="DC46" s="3">
        <f t="shared" si="32"/>
        <v>-213.05220587999997</v>
      </c>
      <c r="DE46" s="3">
        <f t="shared" si="29"/>
        <v>-51.143902079999997</v>
      </c>
      <c r="DT46" s="3">
        <f t="shared" si="2"/>
        <v>-24567.03818</v>
      </c>
      <c r="DU46" s="3">
        <f t="shared" si="28"/>
        <v>-5089.2131479999998</v>
      </c>
      <c r="DV46" s="3">
        <f t="shared" si="30"/>
        <v>-4862.0648516666661</v>
      </c>
      <c r="DW46" s="3">
        <f t="shared" si="14"/>
        <v>-1353.36087</v>
      </c>
      <c r="DX46" s="3">
        <f t="shared" si="18"/>
        <v>-1247.6676103333332</v>
      </c>
      <c r="DY46" s="3">
        <f t="shared" si="25"/>
        <v>-1089.9118163999999</v>
      </c>
      <c r="DZ46" s="3">
        <f t="shared" si="22"/>
        <v>-281.84547300000003</v>
      </c>
      <c r="EA46" s="3">
        <f t="shared" si="27"/>
        <v>-226.69906930000002</v>
      </c>
      <c r="EB46" s="3">
        <f t="shared" si="33"/>
        <v>-106.52610293999999</v>
      </c>
      <c r="ED46" s="3">
        <f t="shared" si="31"/>
        <v>-25.571951039999998</v>
      </c>
      <c r="ES46" s="3">
        <v>7.0993400000000007</v>
      </c>
      <c r="ET46" s="3">
        <v>16.147112000000003</v>
      </c>
      <c r="EU46" s="3">
        <v>27.164044000000001</v>
      </c>
      <c r="EV46" s="3">
        <v>46.399628000000007</v>
      </c>
      <c r="EW46" s="3">
        <v>61.251240000000003</v>
      </c>
      <c r="EX46" s="3">
        <v>68.4024</v>
      </c>
      <c r="EY46" s="3">
        <v>126.75172000000002</v>
      </c>
      <c r="EZ46" s="3">
        <v>153.38720000000001</v>
      </c>
      <c r="FC46" s="32">
        <v>160.18119999999999</v>
      </c>
      <c r="FD46" s="16"/>
    </row>
    <row r="47" spans="3:160" ht="16" x14ac:dyDescent="0.2">
      <c r="C47" s="7" t="s">
        <v>43</v>
      </c>
      <c r="D47" s="3">
        <v>43</v>
      </c>
      <c r="F47" s="3">
        <v>2.82</v>
      </c>
      <c r="G47" s="3">
        <v>1.9</v>
      </c>
      <c r="H47" s="3">
        <v>11</v>
      </c>
      <c r="I47" s="3">
        <v>2430</v>
      </c>
      <c r="J47" s="3">
        <v>4538</v>
      </c>
      <c r="K47" s="28">
        <v>42.305</v>
      </c>
      <c r="L47" s="28">
        <v>39.048000000000002</v>
      </c>
      <c r="M47" s="28">
        <v>37.713999999999999</v>
      </c>
      <c r="N47" s="28">
        <v>32.203000000000003</v>
      </c>
      <c r="O47" s="28">
        <v>29.921999999999997</v>
      </c>
      <c r="P47" s="28">
        <v>26.301800000000004</v>
      </c>
      <c r="Q47" s="28">
        <v>22.398</v>
      </c>
      <c r="R47" s="28">
        <v>19.398666666666667</v>
      </c>
      <c r="S47" s="28">
        <v>12.767599999999998</v>
      </c>
      <c r="T47" s="28"/>
      <c r="U47" s="28">
        <v>10.497999999999999</v>
      </c>
      <c r="V47" s="28"/>
      <c r="W47" s="28"/>
      <c r="X47" s="28"/>
      <c r="Y47"/>
      <c r="Z47"/>
      <c r="AA47" s="28"/>
      <c r="AB47" s="28"/>
      <c r="AC47"/>
      <c r="AD47" s="23"/>
      <c r="AE47" s="23"/>
      <c r="AF47" s="23"/>
      <c r="AG47" s="23"/>
      <c r="AH47" s="23"/>
      <c r="AI47" s="23"/>
      <c r="AP47" s="24">
        <v>1.1637999999999999</v>
      </c>
      <c r="AQ47" s="24">
        <v>6.6654</v>
      </c>
      <c r="AR47" s="24">
        <v>5.3252666666666668</v>
      </c>
      <c r="AS47" s="24">
        <v>19.678799999999999</v>
      </c>
      <c r="AT47" s="24">
        <v>19.361399999999996</v>
      </c>
      <c r="AU47" s="24">
        <v>16.54712</v>
      </c>
      <c r="AV47" s="24">
        <v>50.360799999999998</v>
      </c>
      <c r="AW47" s="24">
        <v>54.310666666666663</v>
      </c>
      <c r="AX47" s="24">
        <v>67.373440000000002</v>
      </c>
      <c r="AY47" s="24"/>
      <c r="AZ47" s="24">
        <v>153.67449999999999</v>
      </c>
      <c r="BA47" s="24"/>
      <c r="BB47" s="24"/>
      <c r="BC47" s="24"/>
      <c r="BD47" s="24"/>
      <c r="BE47" s="24"/>
      <c r="BF47" s="24"/>
      <c r="BG47" s="24"/>
      <c r="BH47" s="25"/>
      <c r="BO47" s="3">
        <v>241</v>
      </c>
      <c r="BP47" s="3">
        <v>244</v>
      </c>
      <c r="BQ47" s="3">
        <v>136</v>
      </c>
      <c r="BR47" s="3">
        <v>147</v>
      </c>
      <c r="BS47" s="3">
        <v>183</v>
      </c>
      <c r="BV47" s="3">
        <v>25827.12199</v>
      </c>
      <c r="BW47" s="3">
        <v>5374.6055980000001</v>
      </c>
      <c r="BX47" s="3">
        <v>5127.5082726666669</v>
      </c>
      <c r="BY47" s="3">
        <v>1447.028712</v>
      </c>
      <c r="BZ47" s="3">
        <v>1335.3833156666667</v>
      </c>
      <c r="CA47" s="3">
        <v>1173.4218880000001</v>
      </c>
      <c r="CB47" s="3">
        <v>313.3237651</v>
      </c>
      <c r="CC47" s="3">
        <v>255.72319033333335</v>
      </c>
      <c r="CD47" s="3">
        <v>139.45091790000001</v>
      </c>
      <c r="CF47" s="3">
        <v>27.638692379999998</v>
      </c>
      <c r="CU47" s="3">
        <f t="shared" si="0"/>
        <v>-51654.243979999999</v>
      </c>
      <c r="CV47" s="3">
        <f t="shared" si="4"/>
        <v>-10749.211196</v>
      </c>
      <c r="CW47" s="3">
        <f t="shared" si="8"/>
        <v>-10255.016545333334</v>
      </c>
      <c r="CX47" s="3">
        <f t="shared" si="12"/>
        <v>-2894.0574240000001</v>
      </c>
      <c r="CY47" s="3">
        <f t="shared" si="16"/>
        <v>-2670.7666313333334</v>
      </c>
      <c r="CZ47" s="3">
        <f t="shared" si="24"/>
        <v>-2346.8437760000002</v>
      </c>
      <c r="DA47" s="3">
        <f t="shared" si="20"/>
        <v>-626.64753020000001</v>
      </c>
      <c r="DB47" s="3">
        <f t="shared" si="26"/>
        <v>-511.4463806666667</v>
      </c>
      <c r="DC47" s="3">
        <f t="shared" si="32"/>
        <v>-278.90183580000001</v>
      </c>
      <c r="DE47" s="3">
        <f t="shared" si="29"/>
        <v>-55.277384759999997</v>
      </c>
      <c r="DT47" s="3">
        <f t="shared" si="2"/>
        <v>-25827.12199</v>
      </c>
      <c r="DU47" s="3">
        <f t="shared" si="28"/>
        <v>-5374.6055980000001</v>
      </c>
      <c r="DV47" s="3">
        <f t="shared" si="30"/>
        <v>-5127.5082726666669</v>
      </c>
      <c r="DW47" s="3">
        <f t="shared" ref="DW47:DW78" si="34">-1*BY47</f>
        <v>-1447.028712</v>
      </c>
      <c r="DX47" s="3">
        <f t="shared" si="18"/>
        <v>-1335.3833156666667</v>
      </c>
      <c r="DY47" s="3">
        <f t="shared" si="25"/>
        <v>-1173.4218880000001</v>
      </c>
      <c r="DZ47" s="3">
        <f t="shared" si="22"/>
        <v>-313.3237651</v>
      </c>
      <c r="EA47" s="3">
        <f t="shared" si="27"/>
        <v>-255.72319033333335</v>
      </c>
      <c r="EB47" s="3">
        <f t="shared" si="33"/>
        <v>-139.45091790000001</v>
      </c>
      <c r="ED47" s="3">
        <f t="shared" si="31"/>
        <v>-27.638692379999998</v>
      </c>
      <c r="ES47" s="3">
        <v>7.2755280000000004</v>
      </c>
      <c r="ET47" s="3">
        <v>15.255808</v>
      </c>
      <c r="EU47" s="3">
        <v>29.537400000000002</v>
      </c>
      <c r="FC47" s="32">
        <v>153.67449999999999</v>
      </c>
      <c r="FD47" s="16"/>
    </row>
    <row r="48" spans="3:160" ht="16" x14ac:dyDescent="0.2">
      <c r="C48" s="7" t="s">
        <v>44</v>
      </c>
      <c r="D48" s="3">
        <v>44</v>
      </c>
      <c r="E48" s="3">
        <v>101.07</v>
      </c>
      <c r="F48" s="3">
        <v>2.68</v>
      </c>
      <c r="G48" s="3">
        <v>2.2000000000000002</v>
      </c>
      <c r="H48" s="3">
        <v>12.1</v>
      </c>
      <c r="I48" s="3">
        <v>2607</v>
      </c>
      <c r="J48" s="3">
        <v>4423</v>
      </c>
      <c r="K48" s="28">
        <v>43.302</v>
      </c>
      <c r="L48" s="28">
        <v>40.036000000000001</v>
      </c>
      <c r="M48" s="28">
        <v>38.692</v>
      </c>
      <c r="N48" s="28">
        <v>33.180999999999997</v>
      </c>
      <c r="O48" s="28">
        <v>30.89233333333333</v>
      </c>
      <c r="P48" s="28">
        <v>27.312999999999999</v>
      </c>
      <c r="Q48" s="28">
        <v>23.216999999999999</v>
      </c>
      <c r="R48" s="28">
        <v>20.137666666666668</v>
      </c>
      <c r="S48" s="28">
        <v>12.690000000000001</v>
      </c>
      <c r="T48" s="28"/>
      <c r="U48" s="28">
        <v>10.518000000000001</v>
      </c>
      <c r="V48" s="28"/>
      <c r="W48" s="28"/>
      <c r="X48" s="28"/>
      <c r="Y48"/>
      <c r="Z48"/>
      <c r="AA48" s="28"/>
      <c r="AB48" s="28"/>
      <c r="AC48"/>
      <c r="AD48" s="23"/>
      <c r="AE48" s="23"/>
      <c r="AF48" s="23"/>
      <c r="AG48" s="23"/>
      <c r="AH48" s="23"/>
      <c r="AI48" s="23"/>
      <c r="AP48" s="24">
        <v>1.1637999999999999</v>
      </c>
      <c r="AQ48" s="24">
        <v>6.5066999999999995</v>
      </c>
      <c r="AR48" s="24">
        <v>5.2194666666666674</v>
      </c>
      <c r="AS48" s="24">
        <v>19.096899999999998</v>
      </c>
      <c r="AT48" s="24">
        <v>18.779499999999999</v>
      </c>
      <c r="AU48" s="24">
        <v>15.98638</v>
      </c>
      <c r="AV48" s="24">
        <v>48.562200000000004</v>
      </c>
      <c r="AW48" s="24">
        <v>52.247566666666671</v>
      </c>
      <c r="AX48" s="24">
        <v>64.527419999999992</v>
      </c>
      <c r="AY48" s="24"/>
      <c r="AZ48" s="24">
        <v>152.08750000000001</v>
      </c>
      <c r="BA48" s="24"/>
      <c r="BB48" s="24"/>
      <c r="BC48" s="24"/>
      <c r="BD48" s="24"/>
      <c r="BE48" s="24"/>
      <c r="BF48" s="24"/>
      <c r="BG48" s="24"/>
      <c r="BH48" s="25"/>
      <c r="BO48" s="3">
        <v>237</v>
      </c>
      <c r="BP48" s="3">
        <v>246</v>
      </c>
      <c r="BQ48" s="3">
        <v>134</v>
      </c>
      <c r="BR48" s="3">
        <v>146</v>
      </c>
      <c r="BS48" s="3">
        <v>178</v>
      </c>
      <c r="BV48" s="3">
        <v>27123.940890000002</v>
      </c>
      <c r="BW48" s="3">
        <v>5669.2186250000004</v>
      </c>
      <c r="BX48" s="3">
        <v>5400.7479373333335</v>
      </c>
      <c r="BY48" s="3">
        <v>1543.526239</v>
      </c>
      <c r="BZ48" s="3">
        <v>1426.0324990000001</v>
      </c>
      <c r="CA48" s="3">
        <v>1259.7036189999999</v>
      </c>
      <c r="CB48" s="3">
        <v>340.32605669999998</v>
      </c>
      <c r="CC48" s="3">
        <v>278.39760930000006</v>
      </c>
      <c r="CD48" s="3">
        <v>144.67265188000002</v>
      </c>
      <c r="CF48" s="3">
        <v>27.283978390000001</v>
      </c>
      <c r="CU48" s="3">
        <f t="shared" si="0"/>
        <v>-54247.881780000003</v>
      </c>
      <c r="CV48" s="3">
        <f t="shared" si="4"/>
        <v>-11338.437250000001</v>
      </c>
      <c r="CW48" s="3">
        <f t="shared" si="8"/>
        <v>-10801.495874666667</v>
      </c>
      <c r="CX48" s="3">
        <f t="shared" si="12"/>
        <v>-3087.0524780000001</v>
      </c>
      <c r="CY48" s="3">
        <f t="shared" si="16"/>
        <v>-2852.0649980000003</v>
      </c>
      <c r="CZ48" s="3">
        <f t="shared" si="24"/>
        <v>-2519.4072379999998</v>
      </c>
      <c r="DA48" s="3">
        <f t="shared" si="20"/>
        <v>-680.65211339999996</v>
      </c>
      <c r="DB48" s="3">
        <f t="shared" si="26"/>
        <v>-556.79521860000011</v>
      </c>
      <c r="DC48" s="3">
        <f t="shared" si="32"/>
        <v>-289.34530376000004</v>
      </c>
      <c r="DE48" s="3">
        <f t="shared" si="29"/>
        <v>-54.567956780000003</v>
      </c>
      <c r="DT48" s="3">
        <f t="shared" si="2"/>
        <v>-27123.940890000002</v>
      </c>
      <c r="DU48" s="3">
        <f t="shared" si="28"/>
        <v>-5669.2186250000004</v>
      </c>
      <c r="DV48" s="3">
        <f t="shared" si="30"/>
        <v>-5400.7479373333335</v>
      </c>
      <c r="DW48" s="3">
        <f t="shared" si="34"/>
        <v>-1543.526239</v>
      </c>
      <c r="DX48" s="3">
        <f t="shared" si="18"/>
        <v>-1426.0324990000001</v>
      </c>
      <c r="DY48" s="3">
        <f t="shared" si="25"/>
        <v>-1259.7036189999999</v>
      </c>
      <c r="DZ48" s="3">
        <f t="shared" si="22"/>
        <v>-340.32605669999998</v>
      </c>
      <c r="EA48" s="3">
        <f t="shared" si="27"/>
        <v>-278.39760930000006</v>
      </c>
      <c r="EB48" s="3">
        <f t="shared" si="33"/>
        <v>-144.67265188000002</v>
      </c>
      <c r="ED48" s="3">
        <f t="shared" si="31"/>
        <v>-27.283978390000001</v>
      </c>
      <c r="ES48" s="3">
        <v>7.3688039999999999</v>
      </c>
      <c r="ET48" s="3">
        <v>16.758588</v>
      </c>
      <c r="EU48" s="3">
        <v>28.469908</v>
      </c>
      <c r="FC48" s="32">
        <v>152.08750000000001</v>
      </c>
      <c r="FD48" s="16"/>
    </row>
    <row r="49" spans="3:160" ht="16" x14ac:dyDescent="0.2">
      <c r="C49" s="7" t="s">
        <v>45</v>
      </c>
      <c r="D49" s="3">
        <v>45</v>
      </c>
      <c r="E49" s="3">
        <v>102.90549</v>
      </c>
      <c r="F49" s="3">
        <v>2.65</v>
      </c>
      <c r="G49" s="3">
        <v>2.2799999999999998</v>
      </c>
      <c r="H49" s="3">
        <v>12.4</v>
      </c>
      <c r="I49" s="3">
        <v>2237</v>
      </c>
      <c r="J49" s="3">
        <v>3968</v>
      </c>
      <c r="K49" s="28">
        <v>44.298999999999999</v>
      </c>
      <c r="L49" s="28">
        <v>41.024999999999999</v>
      </c>
      <c r="M49" s="28">
        <v>39.670999999999999</v>
      </c>
      <c r="N49" s="28">
        <v>34.162999999999997</v>
      </c>
      <c r="O49" s="28">
        <v>31.861666666666668</v>
      </c>
      <c r="P49" s="28">
        <v>28.318200000000001</v>
      </c>
      <c r="Q49" s="28">
        <v>24.106999999999999</v>
      </c>
      <c r="R49" s="28">
        <v>20.997333333333334</v>
      </c>
      <c r="S49" s="28">
        <v>13.5138</v>
      </c>
      <c r="T49" s="28"/>
      <c r="U49" s="28">
        <v>10.648999999999999</v>
      </c>
      <c r="V49" s="28"/>
      <c r="W49" s="28"/>
      <c r="X49" s="28"/>
      <c r="Y49"/>
      <c r="Z49"/>
      <c r="AA49" s="28"/>
      <c r="AB49" s="28"/>
      <c r="AC49"/>
      <c r="AD49" s="23"/>
      <c r="AE49" s="23"/>
      <c r="AF49" s="23"/>
      <c r="AG49" s="23"/>
      <c r="AH49" s="23"/>
      <c r="AI49" s="23"/>
      <c r="AP49" s="24">
        <v>1.1109</v>
      </c>
      <c r="AQ49" s="24">
        <v>6.3479999999999999</v>
      </c>
      <c r="AR49" s="24">
        <v>5.0607666666666669</v>
      </c>
      <c r="AS49" s="24">
        <v>18.567899999999998</v>
      </c>
      <c r="AT49" s="24">
        <v>18.250499999999999</v>
      </c>
      <c r="AU49" s="24">
        <v>15.457379999999997</v>
      </c>
      <c r="AV49" s="24">
        <v>46.816499999999998</v>
      </c>
      <c r="AW49" s="24">
        <v>50.184466666666673</v>
      </c>
      <c r="AX49" s="24">
        <v>60.930219999999998</v>
      </c>
      <c r="AY49" s="24"/>
      <c r="AZ49" s="24">
        <v>149.07220000000001</v>
      </c>
      <c r="BA49" s="24"/>
      <c r="BB49" s="24"/>
      <c r="BC49" s="24"/>
      <c r="BD49" s="24"/>
      <c r="BE49" s="24"/>
      <c r="BF49" s="24"/>
      <c r="BG49" s="24"/>
      <c r="BH49" s="25"/>
      <c r="BO49" s="3">
        <v>233</v>
      </c>
      <c r="BP49" s="3">
        <v>244</v>
      </c>
      <c r="BQ49" s="3">
        <v>134</v>
      </c>
      <c r="BR49" s="3">
        <v>142</v>
      </c>
      <c r="BS49" s="3">
        <v>173</v>
      </c>
      <c r="BV49" s="3">
        <v>28458.032589999999</v>
      </c>
      <c r="BW49" s="3">
        <v>5973.423393</v>
      </c>
      <c r="BX49" s="3">
        <v>5681.7433900000005</v>
      </c>
      <c r="BY49" s="3">
        <v>1643.891265</v>
      </c>
      <c r="BZ49" s="3">
        <v>1519.8154906666666</v>
      </c>
      <c r="CA49" s="3">
        <v>1348.6966538000001</v>
      </c>
      <c r="CB49" s="3">
        <v>371.027355</v>
      </c>
      <c r="CC49" s="3">
        <v>305.44265899999999</v>
      </c>
      <c r="CD49" s="3">
        <v>164.86584976</v>
      </c>
      <c r="CF49" s="3">
        <v>27.711139970000001</v>
      </c>
      <c r="CU49" s="3">
        <f t="shared" si="0"/>
        <v>-56916.065179999998</v>
      </c>
      <c r="CV49" s="3">
        <f t="shared" si="4"/>
        <v>-11946.846786</v>
      </c>
      <c r="CW49" s="3">
        <f t="shared" si="8"/>
        <v>-11363.486780000001</v>
      </c>
      <c r="CX49" s="3">
        <f t="shared" si="12"/>
        <v>-3287.78253</v>
      </c>
      <c r="CY49" s="3">
        <f t="shared" si="16"/>
        <v>-3039.6309813333332</v>
      </c>
      <c r="CZ49" s="3">
        <f t="shared" si="24"/>
        <v>-2697.3933076000003</v>
      </c>
      <c r="DA49" s="3">
        <f t="shared" si="20"/>
        <v>-742.05471</v>
      </c>
      <c r="DB49" s="3">
        <f t="shared" si="26"/>
        <v>-610.88531799999998</v>
      </c>
      <c r="DC49" s="3">
        <f t="shared" si="32"/>
        <v>-329.73169952000001</v>
      </c>
      <c r="DE49" s="3">
        <f t="shared" si="29"/>
        <v>-55.422279940000003</v>
      </c>
      <c r="DT49" s="3">
        <f t="shared" si="2"/>
        <v>-28458.032589999999</v>
      </c>
      <c r="DU49" s="3">
        <f t="shared" si="28"/>
        <v>-5973.423393</v>
      </c>
      <c r="DV49" s="3">
        <f t="shared" si="30"/>
        <v>-5681.7433900000005</v>
      </c>
      <c r="DW49" s="3">
        <f t="shared" si="34"/>
        <v>-1643.891265</v>
      </c>
      <c r="DX49" s="3">
        <f t="shared" ref="DX49:DX80" si="35">-1*BZ49</f>
        <v>-1519.8154906666666</v>
      </c>
      <c r="DY49" s="3">
        <f t="shared" si="25"/>
        <v>-1348.6966538000001</v>
      </c>
      <c r="DZ49" s="3">
        <f t="shared" si="22"/>
        <v>-371.027355</v>
      </c>
      <c r="EA49" s="3">
        <f t="shared" si="27"/>
        <v>-305.44265899999999</v>
      </c>
      <c r="EB49" s="3">
        <f t="shared" si="33"/>
        <v>-164.86584976</v>
      </c>
      <c r="ED49" s="3">
        <f t="shared" si="31"/>
        <v>-27.711139970000001</v>
      </c>
      <c r="ES49" s="3">
        <v>7.4620800000000003</v>
      </c>
      <c r="ET49" s="3">
        <v>18.074816000000002</v>
      </c>
      <c r="EU49" s="3">
        <v>31.060908000000001</v>
      </c>
      <c r="FC49" s="32">
        <v>149.07220000000001</v>
      </c>
      <c r="FD49" s="16"/>
    </row>
    <row r="50" spans="3:160" ht="16" x14ac:dyDescent="0.2">
      <c r="C50" s="7" t="s">
        <v>46</v>
      </c>
      <c r="D50" s="3">
        <v>46</v>
      </c>
      <c r="E50" s="3">
        <v>106.42</v>
      </c>
      <c r="F50" s="3">
        <v>2.7</v>
      </c>
      <c r="G50" s="3">
        <v>2.2000000000000002</v>
      </c>
      <c r="H50" s="3">
        <v>12</v>
      </c>
      <c r="I50" s="3">
        <v>1828.05</v>
      </c>
      <c r="J50" s="3">
        <v>3236</v>
      </c>
      <c r="K50" s="28">
        <v>45.295999999999999</v>
      </c>
      <c r="L50" s="28">
        <v>42.014000000000003</v>
      </c>
      <c r="M50" s="28">
        <v>40.651000000000003</v>
      </c>
      <c r="N50" s="28">
        <v>35.143000000000001</v>
      </c>
      <c r="O50" s="28">
        <v>32.829333333333331</v>
      </c>
      <c r="P50" s="28">
        <v>29.334199999999999</v>
      </c>
      <c r="Q50" s="28">
        <v>24.893000000000001</v>
      </c>
      <c r="R50" s="28">
        <v>21.721333333333334</v>
      </c>
      <c r="S50" s="28">
        <v>13.5374</v>
      </c>
      <c r="T50" s="28"/>
      <c r="U50" s="28"/>
      <c r="V50" s="28"/>
      <c r="W50" s="28"/>
      <c r="X50" s="28"/>
      <c r="Y50"/>
      <c r="Z50"/>
      <c r="AA50" s="28"/>
      <c r="AB50" s="28"/>
      <c r="AC50"/>
      <c r="AD50" s="23"/>
      <c r="AE50" s="23"/>
      <c r="AF50" s="23"/>
      <c r="AG50" s="23"/>
      <c r="AH50" s="23"/>
      <c r="AI50" s="23"/>
      <c r="AP50" s="24">
        <v>1.1109</v>
      </c>
      <c r="AQ50" s="24">
        <v>6.1893000000000002</v>
      </c>
      <c r="AR50" s="24">
        <v>4.9549666666666674</v>
      </c>
      <c r="AS50" s="24">
        <v>18.038900000000002</v>
      </c>
      <c r="AT50" s="24">
        <v>17.721500000000002</v>
      </c>
      <c r="AU50" s="24">
        <v>14.960119999999998</v>
      </c>
      <c r="AV50" s="24">
        <v>45.282399999999996</v>
      </c>
      <c r="AW50" s="24">
        <v>48.42113333333333</v>
      </c>
      <c r="AX50" s="24">
        <v>58.391020000000005</v>
      </c>
      <c r="AY50" s="24"/>
      <c r="AZ50" s="24"/>
      <c r="BA50" s="24"/>
      <c r="BB50" s="24"/>
      <c r="BC50" s="24"/>
      <c r="BD50" s="24"/>
      <c r="BE50" s="24"/>
      <c r="BF50" s="25"/>
      <c r="BG50" s="25"/>
      <c r="BH50" s="25"/>
      <c r="BO50" s="3">
        <v>215</v>
      </c>
      <c r="BP50" s="3">
        <v>215</v>
      </c>
      <c r="BQ50" s="3">
        <v>137</v>
      </c>
      <c r="BR50" s="3">
        <v>139</v>
      </c>
      <c r="BS50" s="3">
        <v>169</v>
      </c>
      <c r="BV50" s="3">
        <v>29829.940770000001</v>
      </c>
      <c r="BW50" s="3">
        <v>6287.281943</v>
      </c>
      <c r="BX50" s="3">
        <v>5970.660621</v>
      </c>
      <c r="BY50" s="3">
        <v>1747.572406</v>
      </c>
      <c r="BZ50" s="3">
        <v>1616.637095</v>
      </c>
      <c r="CA50" s="3">
        <v>1441.305875</v>
      </c>
      <c r="CB50" s="3">
        <v>399.47380909999998</v>
      </c>
      <c r="CC50" s="3">
        <v>329.8273696666667</v>
      </c>
      <c r="CD50" s="3">
        <v>172.19172576</v>
      </c>
      <c r="CU50" s="3">
        <f t="shared" si="0"/>
        <v>-59659.881540000002</v>
      </c>
      <c r="CV50" s="3">
        <f t="shared" si="4"/>
        <v>-12574.563886</v>
      </c>
      <c r="CW50" s="3">
        <f t="shared" si="8"/>
        <v>-11941.321242</v>
      </c>
      <c r="CX50" s="3">
        <f t="shared" si="12"/>
        <v>-3495.144812</v>
      </c>
      <c r="CY50" s="3">
        <f t="shared" si="16"/>
        <v>-3233.2741900000001</v>
      </c>
      <c r="CZ50" s="3">
        <f t="shared" si="24"/>
        <v>-2882.61175</v>
      </c>
      <c r="DA50" s="3">
        <f t="shared" si="20"/>
        <v>-798.94761819999997</v>
      </c>
      <c r="DB50" s="3">
        <f t="shared" si="26"/>
        <v>-659.6547393333334</v>
      </c>
      <c r="DC50" s="3">
        <f t="shared" si="32"/>
        <v>-344.38345151999999</v>
      </c>
      <c r="DT50" s="3">
        <f t="shared" si="2"/>
        <v>-29829.940770000001</v>
      </c>
      <c r="DU50" s="3">
        <f t="shared" si="28"/>
        <v>-6287.281943</v>
      </c>
      <c r="DV50" s="3">
        <f t="shared" si="30"/>
        <v>-5970.660621</v>
      </c>
      <c r="DW50" s="3">
        <f t="shared" si="34"/>
        <v>-1747.572406</v>
      </c>
      <c r="DX50" s="3">
        <f t="shared" si="35"/>
        <v>-1616.637095</v>
      </c>
      <c r="DY50" s="3">
        <f t="shared" si="25"/>
        <v>-1441.305875</v>
      </c>
      <c r="DZ50" s="3">
        <f t="shared" si="22"/>
        <v>-399.47380909999998</v>
      </c>
      <c r="EA50" s="3">
        <f t="shared" si="27"/>
        <v>-329.8273696666667</v>
      </c>
      <c r="EB50" s="3">
        <f t="shared" si="33"/>
        <v>-172.19172576</v>
      </c>
      <c r="ES50" s="3">
        <v>8.343020000000001</v>
      </c>
      <c r="ET50" s="3">
        <v>19.432500000000001</v>
      </c>
      <c r="EU50" s="3">
        <v>32.926428000000001</v>
      </c>
      <c r="FC50" s="32">
        <v>58.391020000000005</v>
      </c>
      <c r="FD50" s="16"/>
    </row>
    <row r="51" spans="3:160" ht="16" x14ac:dyDescent="0.2">
      <c r="C51" s="7" t="s">
        <v>47</v>
      </c>
      <c r="D51" s="3">
        <v>47</v>
      </c>
      <c r="E51" s="3">
        <v>107.8682</v>
      </c>
      <c r="F51" s="3">
        <v>2.88</v>
      </c>
      <c r="G51" s="3">
        <v>1.93</v>
      </c>
      <c r="H51" s="3">
        <v>10.500999999999999</v>
      </c>
      <c r="I51" s="3">
        <v>1234.93</v>
      </c>
      <c r="J51" s="3">
        <v>2435</v>
      </c>
      <c r="K51" s="28">
        <v>46.293999999999997</v>
      </c>
      <c r="L51" s="28">
        <v>43.005000000000003</v>
      </c>
      <c r="M51" s="28">
        <v>41.630666666666663</v>
      </c>
      <c r="N51" s="28">
        <v>36.127000000000002</v>
      </c>
      <c r="O51" s="28">
        <v>33.797333333333334</v>
      </c>
      <c r="P51" s="28">
        <v>30.330399999999997</v>
      </c>
      <c r="Q51" s="28">
        <v>25.864000000000001</v>
      </c>
      <c r="R51" s="28">
        <v>22.681999999999999</v>
      </c>
      <c r="S51" s="28">
        <v>15.140800000000002</v>
      </c>
      <c r="T51" s="28"/>
      <c r="U51" s="28">
        <v>10.848000000000001</v>
      </c>
      <c r="V51" s="28"/>
      <c r="W51" s="28"/>
      <c r="X51" s="28"/>
      <c r="Y51"/>
      <c r="Z51"/>
      <c r="AA51" s="28"/>
      <c r="AB51"/>
      <c r="AC51"/>
      <c r="AD51" s="23"/>
      <c r="AE51" s="23"/>
      <c r="AF51" s="23"/>
      <c r="AG51" s="23"/>
      <c r="AH51" s="23"/>
      <c r="AI51" s="23"/>
      <c r="AP51" s="24">
        <v>1.0580000000000001</v>
      </c>
      <c r="AQ51" s="24">
        <v>6.0305999999999997</v>
      </c>
      <c r="AR51" s="24">
        <v>4.8491666666666671</v>
      </c>
      <c r="AS51" s="24">
        <v>17.562799999999999</v>
      </c>
      <c r="AT51" s="24">
        <v>17.2454</v>
      </c>
      <c r="AU51" s="24">
        <v>14.53692</v>
      </c>
      <c r="AV51" s="24">
        <v>43.748299999999993</v>
      </c>
      <c r="AW51" s="24">
        <v>46.622533333333337</v>
      </c>
      <c r="AX51" s="24">
        <v>55.058319999999995</v>
      </c>
      <c r="AY51" s="24"/>
      <c r="AZ51" s="24">
        <v>144.36410000000001</v>
      </c>
      <c r="BA51" s="24"/>
      <c r="BB51" s="24"/>
      <c r="BC51" s="24"/>
      <c r="BD51" s="24"/>
      <c r="BE51" s="24"/>
      <c r="BF51" s="24"/>
      <c r="BG51" s="24"/>
      <c r="BH51" s="25"/>
      <c r="BO51" s="3">
        <v>225</v>
      </c>
      <c r="BP51" s="3">
        <v>252.99999999999997</v>
      </c>
      <c r="BQ51" s="3">
        <v>144</v>
      </c>
      <c r="BR51" s="3">
        <v>145</v>
      </c>
      <c r="BS51" s="3">
        <v>165</v>
      </c>
      <c r="BV51" s="3">
        <v>31240.113600000001</v>
      </c>
      <c r="BW51" s="3">
        <v>6611.0832609999998</v>
      </c>
      <c r="BX51" s="3">
        <v>6267.3997640000007</v>
      </c>
      <c r="BY51" s="3">
        <v>1855.379555</v>
      </c>
      <c r="BZ51" s="3">
        <v>1716.6402459999999</v>
      </c>
      <c r="CA51" s="3">
        <v>1535.8565688000001</v>
      </c>
      <c r="CB51" s="3">
        <v>435.57928820000001</v>
      </c>
      <c r="CC51" s="3">
        <v>362.1834556666667</v>
      </c>
      <c r="CD51" s="3">
        <v>206.87642338000001</v>
      </c>
      <c r="CF51" s="3">
        <v>27.968605920000002</v>
      </c>
      <c r="CU51" s="3">
        <f t="shared" si="0"/>
        <v>-62480.227200000001</v>
      </c>
      <c r="CV51" s="3">
        <f t="shared" si="4"/>
        <v>-13222.166522</v>
      </c>
      <c r="CW51" s="3">
        <f t="shared" si="8"/>
        <v>-12534.799528000001</v>
      </c>
      <c r="CX51" s="3">
        <f t="shared" si="12"/>
        <v>-3710.75911</v>
      </c>
      <c r="CY51" s="3">
        <f t="shared" si="16"/>
        <v>-3433.2804919999999</v>
      </c>
      <c r="CZ51" s="3">
        <f t="shared" si="24"/>
        <v>-3071.7131376000002</v>
      </c>
      <c r="DA51" s="3">
        <f t="shared" si="20"/>
        <v>-871.15857640000002</v>
      </c>
      <c r="DB51" s="3">
        <f t="shared" si="26"/>
        <v>-724.36691133333341</v>
      </c>
      <c r="DC51" s="3">
        <f t="shared" si="32"/>
        <v>-413.75284676000001</v>
      </c>
      <c r="DE51" s="3">
        <f t="shared" si="29"/>
        <v>-55.937211840000003</v>
      </c>
      <c r="DT51" s="3">
        <f t="shared" si="2"/>
        <v>-31240.113600000001</v>
      </c>
      <c r="DU51" s="3">
        <f t="shared" si="28"/>
        <v>-6611.0832609999998</v>
      </c>
      <c r="DV51" s="3">
        <f t="shared" si="30"/>
        <v>-6267.3997640000007</v>
      </c>
      <c r="DW51" s="3">
        <f t="shared" si="34"/>
        <v>-1855.379555</v>
      </c>
      <c r="DX51" s="3">
        <f t="shared" si="35"/>
        <v>-1716.6402459999999</v>
      </c>
      <c r="DY51" s="3">
        <f t="shared" si="25"/>
        <v>-1535.8565688000001</v>
      </c>
      <c r="DZ51" s="3">
        <f t="shared" si="22"/>
        <v>-435.57928820000001</v>
      </c>
      <c r="EA51" s="3">
        <f t="shared" si="27"/>
        <v>-362.1834556666667</v>
      </c>
      <c r="EB51" s="3">
        <f t="shared" si="33"/>
        <v>-206.87642338000001</v>
      </c>
      <c r="ED51" s="3">
        <f t="shared" ref="ED51:ED82" si="36">-1*CF51</f>
        <v>-27.968605920000002</v>
      </c>
      <c r="ES51" s="3">
        <v>7.5760840000000007</v>
      </c>
      <c r="ET51" s="3">
        <v>21.494935999999999</v>
      </c>
      <c r="EU51" s="3">
        <v>34.833404000000002</v>
      </c>
      <c r="FC51" s="32">
        <v>144.36410000000001</v>
      </c>
      <c r="FD51" s="16"/>
    </row>
    <row r="52" spans="3:160" ht="16" x14ac:dyDescent="0.2">
      <c r="C52" s="7" t="s">
        <v>48</v>
      </c>
      <c r="D52" s="3">
        <v>48</v>
      </c>
      <c r="E52" s="3">
        <v>112.414</v>
      </c>
      <c r="F52" s="3">
        <v>2.36</v>
      </c>
      <c r="G52" s="3">
        <v>1.69</v>
      </c>
      <c r="H52" s="3">
        <v>8.69</v>
      </c>
      <c r="I52" s="3">
        <v>594.22</v>
      </c>
      <c r="J52" s="3">
        <v>1040</v>
      </c>
      <c r="K52" s="28">
        <v>47.290999999999997</v>
      </c>
      <c r="L52" s="28">
        <v>43.997</v>
      </c>
      <c r="M52" s="28">
        <v>42.610666666666667</v>
      </c>
      <c r="N52" s="28">
        <v>37.113</v>
      </c>
      <c r="O52" s="28">
        <v>34.765999999999998</v>
      </c>
      <c r="P52" s="28">
        <v>31.323599999999999</v>
      </c>
      <c r="Q52" s="28">
        <v>26.870999999999999</v>
      </c>
      <c r="R52" s="28">
        <v>23.668000000000003</v>
      </c>
      <c r="S52" s="28">
        <v>16.567599999999999</v>
      </c>
      <c r="T52" s="28"/>
      <c r="U52" s="28">
        <v>12.118</v>
      </c>
      <c r="V52" s="28"/>
      <c r="W52" s="28"/>
      <c r="X52" s="28"/>
      <c r="Y52"/>
      <c r="Z52"/>
      <c r="AA52" s="28"/>
      <c r="AB52" s="28"/>
      <c r="AC52"/>
      <c r="AD52" s="23"/>
      <c r="AE52" s="23"/>
      <c r="AF52" s="23"/>
      <c r="AG52" s="23"/>
      <c r="AH52" s="23"/>
      <c r="AI52" s="23"/>
      <c r="AP52" s="24">
        <v>1.0580000000000001</v>
      </c>
      <c r="AQ52" s="24">
        <v>5.8719000000000001</v>
      </c>
      <c r="AR52" s="24">
        <v>4.7257333333333333</v>
      </c>
      <c r="AS52" s="24">
        <v>17.139600000000002</v>
      </c>
      <c r="AT52" s="24">
        <v>16.769300000000001</v>
      </c>
      <c r="AU52" s="24">
        <v>14.113720000000001</v>
      </c>
      <c r="AV52" s="24">
        <v>42.267099999999999</v>
      </c>
      <c r="AW52" s="24">
        <v>44.929733333333331</v>
      </c>
      <c r="AX52" s="24">
        <v>52.032439999999994</v>
      </c>
      <c r="AY52" s="24"/>
      <c r="AZ52" s="24">
        <v>130.39849999999998</v>
      </c>
      <c r="BA52" s="24"/>
      <c r="BB52" s="24"/>
      <c r="BC52" s="24"/>
      <c r="BD52" s="24"/>
      <c r="BE52" s="24"/>
      <c r="BF52" s="24"/>
      <c r="BG52" s="24"/>
      <c r="BH52" s="25"/>
      <c r="BO52" s="3">
        <v>238</v>
      </c>
      <c r="BP52" s="3">
        <v>249.00000000000003</v>
      </c>
      <c r="BQ52" s="3">
        <v>151</v>
      </c>
      <c r="BR52" s="3">
        <v>144</v>
      </c>
      <c r="BS52" s="3">
        <v>161</v>
      </c>
      <c r="BV52" s="3">
        <v>32689.149720000001</v>
      </c>
      <c r="BW52" s="3">
        <v>6945.0061260000002</v>
      </c>
      <c r="BX52" s="3">
        <v>6572.158918666667</v>
      </c>
      <c r="BY52" s="3">
        <v>1967.1457700000001</v>
      </c>
      <c r="BZ52" s="3">
        <v>1819.9457526666665</v>
      </c>
      <c r="CA52" s="3">
        <v>1633.2688598</v>
      </c>
      <c r="CB52" s="3">
        <v>474.84762810000001</v>
      </c>
      <c r="CC52" s="3">
        <v>397.18476939999999</v>
      </c>
      <c r="CD52" s="3">
        <v>242.62575495999999</v>
      </c>
      <c r="CF52" s="3">
        <v>37.382604579999999</v>
      </c>
      <c r="CU52" s="3">
        <f t="shared" si="0"/>
        <v>-65378.299440000003</v>
      </c>
      <c r="CV52" s="3">
        <f t="shared" si="4"/>
        <v>-13890.012252</v>
      </c>
      <c r="CW52" s="3">
        <f t="shared" si="8"/>
        <v>-13144.317837333334</v>
      </c>
      <c r="CX52" s="3">
        <f t="shared" si="12"/>
        <v>-3934.2915400000002</v>
      </c>
      <c r="CY52" s="3">
        <f t="shared" si="16"/>
        <v>-3639.891505333333</v>
      </c>
      <c r="CZ52" s="3">
        <f t="shared" si="24"/>
        <v>-3266.5377195999999</v>
      </c>
      <c r="DA52" s="3">
        <f t="shared" si="20"/>
        <v>-949.69525620000002</v>
      </c>
      <c r="DB52" s="3">
        <f t="shared" si="26"/>
        <v>-794.36953879999999</v>
      </c>
      <c r="DC52" s="3">
        <f t="shared" si="32"/>
        <v>-485.25150991999999</v>
      </c>
      <c r="DE52" s="3">
        <f t="shared" si="29"/>
        <v>-74.765209159999998</v>
      </c>
      <c r="DT52" s="3">
        <f t="shared" si="2"/>
        <v>-32689.149720000001</v>
      </c>
      <c r="DU52" s="3">
        <f t="shared" si="28"/>
        <v>-6945.0061260000002</v>
      </c>
      <c r="DV52" s="3">
        <f t="shared" si="30"/>
        <v>-6572.158918666667</v>
      </c>
      <c r="DW52" s="3">
        <f t="shared" si="34"/>
        <v>-1967.1457700000001</v>
      </c>
      <c r="DX52" s="3">
        <f t="shared" si="35"/>
        <v>-1819.9457526666665</v>
      </c>
      <c r="DY52" s="3">
        <f t="shared" si="25"/>
        <v>-1633.2688598</v>
      </c>
      <c r="DZ52" s="3">
        <f t="shared" si="22"/>
        <v>-474.84762810000001</v>
      </c>
      <c r="EA52" s="3">
        <f t="shared" si="27"/>
        <v>-397.18476939999999</v>
      </c>
      <c r="EB52" s="3">
        <f t="shared" si="33"/>
        <v>-242.62575495999999</v>
      </c>
      <c r="ED52" s="3">
        <f t="shared" si="36"/>
        <v>-37.382604579999999</v>
      </c>
      <c r="ES52" s="3">
        <v>8.9928428000000018</v>
      </c>
      <c r="ET52" s="3">
        <v>16.907829599999999</v>
      </c>
      <c r="EU52" s="3">
        <v>37.476224000000002</v>
      </c>
      <c r="FC52" s="32">
        <v>130.39849999999998</v>
      </c>
      <c r="FD52" s="16"/>
    </row>
    <row r="53" spans="3:160" ht="16" x14ac:dyDescent="0.2">
      <c r="C53" s="7" t="s">
        <v>49</v>
      </c>
      <c r="D53" s="3">
        <v>49</v>
      </c>
      <c r="E53" s="3">
        <v>114.818</v>
      </c>
      <c r="F53" s="3">
        <v>2.29</v>
      </c>
      <c r="G53" s="3">
        <v>1.78</v>
      </c>
      <c r="H53" s="3">
        <v>7.31</v>
      </c>
      <c r="I53" s="3">
        <v>429.75</v>
      </c>
      <c r="J53" s="3">
        <v>2345</v>
      </c>
      <c r="K53" s="28">
        <v>48.287999999999997</v>
      </c>
      <c r="L53" s="28">
        <v>44.988999999999997</v>
      </c>
      <c r="M53" s="28">
        <v>43.591000000000001</v>
      </c>
      <c r="N53" s="28">
        <v>38.1</v>
      </c>
      <c r="O53" s="28">
        <v>35.73533333333333</v>
      </c>
      <c r="P53" s="28">
        <v>32.314800000000005</v>
      </c>
      <c r="Q53" s="28">
        <v>27.876999999999999</v>
      </c>
      <c r="R53" s="28">
        <v>24.686000000000003</v>
      </c>
      <c r="S53" s="28">
        <v>17.945799999999998</v>
      </c>
      <c r="T53" s="28"/>
      <c r="U53" s="28">
        <v>13.711</v>
      </c>
      <c r="V53" s="28">
        <v>9.9429999999999996</v>
      </c>
      <c r="W53" s="28"/>
      <c r="X53" s="28"/>
      <c r="Y53"/>
      <c r="Z53"/>
      <c r="AA53" s="28"/>
      <c r="AB53" s="28"/>
      <c r="AC53"/>
      <c r="AD53" s="23"/>
      <c r="AE53" s="23"/>
      <c r="AF53" s="23"/>
      <c r="AG53" s="23"/>
      <c r="AH53" s="23"/>
      <c r="AI53" s="23"/>
      <c r="AP53" s="24">
        <v>1.0050999999999999</v>
      </c>
      <c r="AQ53" s="24">
        <v>5.7660999999999998</v>
      </c>
      <c r="AR53" s="24">
        <v>4.5846666666666671</v>
      </c>
      <c r="AS53" s="24">
        <v>16.663499999999999</v>
      </c>
      <c r="AT53" s="24">
        <v>16.328466666666667</v>
      </c>
      <c r="AU53" s="24">
        <v>13.690520000000001</v>
      </c>
      <c r="AV53" s="24">
        <v>40.8917</v>
      </c>
      <c r="AW53" s="24">
        <v>43.342733333333335</v>
      </c>
      <c r="AX53" s="24">
        <v>49.408599999999993</v>
      </c>
      <c r="AY53" s="24"/>
      <c r="AZ53" s="24">
        <v>118.28440000000001</v>
      </c>
      <c r="BA53" s="24">
        <v>152.82809999999998</v>
      </c>
      <c r="BB53" s="24"/>
      <c r="BC53" s="24"/>
      <c r="BD53" s="24"/>
      <c r="BE53" s="24"/>
      <c r="BF53" s="24"/>
      <c r="BG53" s="24"/>
      <c r="BH53" s="24"/>
      <c r="BO53" s="3">
        <v>246</v>
      </c>
      <c r="BP53" s="3">
        <v>242</v>
      </c>
      <c r="BQ53" s="3">
        <v>167</v>
      </c>
      <c r="BR53" s="3">
        <v>142</v>
      </c>
      <c r="BS53" s="3">
        <v>156</v>
      </c>
      <c r="BV53" s="3">
        <v>34177.911740000003</v>
      </c>
      <c r="BW53" s="3">
        <v>7289.1479529999997</v>
      </c>
      <c r="BX53" s="3">
        <v>6885.0246159999997</v>
      </c>
      <c r="BY53" s="3">
        <v>2082.6456309999999</v>
      </c>
      <c r="BZ53" s="3">
        <v>1926.6266316666668</v>
      </c>
      <c r="CA53" s="3">
        <v>1733.5772919999999</v>
      </c>
      <c r="CB53" s="3">
        <v>515.97692730000006</v>
      </c>
      <c r="CC53" s="3">
        <v>434.99509610000001</v>
      </c>
      <c r="CD53" s="3">
        <v>280.67170455999997</v>
      </c>
      <c r="CF53" s="3">
        <v>50.909699150000002</v>
      </c>
      <c r="CG53" s="3">
        <v>26.035639280000002</v>
      </c>
      <c r="CU53" s="3">
        <f t="shared" si="0"/>
        <v>-68355.823480000006</v>
      </c>
      <c r="CV53" s="3">
        <f t="shared" si="4"/>
        <v>-14578.295905999999</v>
      </c>
      <c r="CW53" s="3">
        <f t="shared" si="8"/>
        <v>-13770.049231999999</v>
      </c>
      <c r="CX53" s="3">
        <f t="shared" si="12"/>
        <v>-4165.2912619999997</v>
      </c>
      <c r="CY53" s="3">
        <f t="shared" si="16"/>
        <v>-3853.2532633333335</v>
      </c>
      <c r="CZ53" s="3">
        <f t="shared" si="24"/>
        <v>-3467.1545839999999</v>
      </c>
      <c r="DA53" s="3">
        <f t="shared" si="20"/>
        <v>-1031.9538546000001</v>
      </c>
      <c r="DB53" s="3">
        <f t="shared" si="26"/>
        <v>-869.99019220000002</v>
      </c>
      <c r="DC53" s="3">
        <f t="shared" si="32"/>
        <v>-561.34340911999993</v>
      </c>
      <c r="DE53" s="3">
        <f t="shared" si="29"/>
        <v>-101.8193983</v>
      </c>
      <c r="DF53" s="3">
        <f t="shared" ref="DF53:DF69" si="37">-2*CG53</f>
        <v>-52.071278560000003</v>
      </c>
      <c r="DT53" s="3">
        <f t="shared" si="2"/>
        <v>-34177.911740000003</v>
      </c>
      <c r="DU53" s="3">
        <f t="shared" si="28"/>
        <v>-7289.1479529999997</v>
      </c>
      <c r="DV53" s="3">
        <f t="shared" si="30"/>
        <v>-6885.0246159999997</v>
      </c>
      <c r="DW53" s="3">
        <f t="shared" si="34"/>
        <v>-2082.6456309999999</v>
      </c>
      <c r="DX53" s="3">
        <f t="shared" si="35"/>
        <v>-1926.6266316666668</v>
      </c>
      <c r="DY53" s="3">
        <f t="shared" si="25"/>
        <v>-1733.5772919999999</v>
      </c>
      <c r="DZ53" s="3">
        <f t="shared" si="22"/>
        <v>-515.97692730000006</v>
      </c>
      <c r="EA53" s="3">
        <f t="shared" si="27"/>
        <v>-434.99509610000001</v>
      </c>
      <c r="EB53" s="3">
        <f t="shared" si="33"/>
        <v>-280.67170455999997</v>
      </c>
      <c r="ED53" s="3">
        <f t="shared" si="36"/>
        <v>-50.909699150000002</v>
      </c>
      <c r="EE53" s="3">
        <f t="shared" ref="EE53:EE99" si="38">-1*CG53</f>
        <v>-26.035639280000002</v>
      </c>
      <c r="ES53" s="3">
        <v>5.7862212000000008</v>
      </c>
      <c r="ET53" s="3">
        <v>18.868698400000003</v>
      </c>
      <c r="EU53" s="3">
        <v>28.034620000000004</v>
      </c>
      <c r="EV53" s="3">
        <v>53.892800000000008</v>
      </c>
      <c r="FC53" s="32">
        <v>152.82809999999998</v>
      </c>
      <c r="FD53" s="16"/>
    </row>
    <row r="54" spans="3:160" ht="16" x14ac:dyDescent="0.2">
      <c r="C54" s="7" t="s">
        <v>50</v>
      </c>
      <c r="D54" s="3">
        <v>50</v>
      </c>
      <c r="E54" s="3">
        <v>118.71</v>
      </c>
      <c r="F54" s="3">
        <v>2.68</v>
      </c>
      <c r="G54" s="3">
        <v>1.96</v>
      </c>
      <c r="H54" s="3">
        <v>7.2869999999999999</v>
      </c>
      <c r="I54" s="3">
        <v>505.08</v>
      </c>
      <c r="J54" s="3">
        <v>2875</v>
      </c>
      <c r="K54" s="28">
        <v>49.284999999999997</v>
      </c>
      <c r="L54" s="28">
        <v>45.981999999999999</v>
      </c>
      <c r="M54" s="28">
        <v>44.572333333333326</v>
      </c>
      <c r="N54" s="28">
        <v>39.088000000000001</v>
      </c>
      <c r="O54" s="28">
        <v>36.706666666666671</v>
      </c>
      <c r="P54" s="28">
        <v>33.304400000000001</v>
      </c>
      <c r="Q54" s="28">
        <v>28.896000000000001</v>
      </c>
      <c r="R54" s="28">
        <v>25.719333333333335</v>
      </c>
      <c r="S54" s="28">
        <v>19.2286</v>
      </c>
      <c r="T54" s="28"/>
      <c r="U54" s="28">
        <v>15.048</v>
      </c>
      <c r="V54" s="28">
        <v>11.416333333333332</v>
      </c>
      <c r="W54" s="28"/>
      <c r="X54" s="28"/>
      <c r="Y54"/>
      <c r="Z54"/>
      <c r="AA54" s="28"/>
      <c r="AB54" s="28"/>
      <c r="AC54" s="28"/>
      <c r="AD54" s="23"/>
      <c r="AE54" s="23"/>
      <c r="AF54" s="23"/>
      <c r="AG54" s="23"/>
      <c r="AH54" s="23"/>
      <c r="AI54" s="23"/>
      <c r="AP54" s="24">
        <v>1.0050999999999999</v>
      </c>
      <c r="AQ54" s="24">
        <v>5.6073999999999993</v>
      </c>
      <c r="AR54" s="24">
        <v>4.5141333333333327</v>
      </c>
      <c r="AS54" s="24">
        <v>16.240299999999998</v>
      </c>
      <c r="AT54" s="24">
        <v>15.9229</v>
      </c>
      <c r="AU54" s="24">
        <v>13.320219999999997</v>
      </c>
      <c r="AV54" s="24">
        <v>39.569200000000002</v>
      </c>
      <c r="AW54" s="24">
        <v>41.861533333333334</v>
      </c>
      <c r="AX54" s="24">
        <v>47.049259999999997</v>
      </c>
      <c r="AY54" s="24"/>
      <c r="AZ54" s="24">
        <v>109.55590000000001</v>
      </c>
      <c r="BA54" s="24">
        <v>137.09916666666666</v>
      </c>
      <c r="BB54" s="24"/>
      <c r="BC54" s="24"/>
      <c r="BD54" s="24"/>
      <c r="BE54" s="24"/>
      <c r="BF54" s="24"/>
      <c r="BG54" s="24"/>
      <c r="BH54" s="24"/>
      <c r="BO54" s="3">
        <v>248</v>
      </c>
      <c r="BP54" s="3">
        <v>242</v>
      </c>
      <c r="BR54" s="3">
        <v>139</v>
      </c>
      <c r="BS54" s="3">
        <v>145</v>
      </c>
      <c r="BV54" s="3">
        <v>35706.878579999997</v>
      </c>
      <c r="BW54" s="3">
        <v>7643.7645309999998</v>
      </c>
      <c r="BX54" s="3">
        <v>7206.0852943333339</v>
      </c>
      <c r="BY54" s="3">
        <v>2202.121838</v>
      </c>
      <c r="BZ54" s="3">
        <v>2036.7395193333334</v>
      </c>
      <c r="CA54" s="3">
        <v>1836.8071811999998</v>
      </c>
      <c r="CB54" s="3">
        <v>559.58779589999995</v>
      </c>
      <c r="CC54" s="3">
        <v>475.36943360000004</v>
      </c>
      <c r="CD54" s="3">
        <v>319.82934847999996</v>
      </c>
      <c r="CF54" s="3">
        <v>64.170473180000002</v>
      </c>
      <c r="CG54" s="3">
        <v>36.432318653333333</v>
      </c>
      <c r="CU54" s="3">
        <f t="shared" si="0"/>
        <v>-71413.757159999994</v>
      </c>
      <c r="CV54" s="3">
        <f t="shared" si="4"/>
        <v>-15287.529062</v>
      </c>
      <c r="CW54" s="3">
        <f t="shared" si="8"/>
        <v>-14412.170588666668</v>
      </c>
      <c r="CX54" s="3">
        <f t="shared" si="12"/>
        <v>-4404.2436760000001</v>
      </c>
      <c r="CY54" s="3">
        <f t="shared" si="16"/>
        <v>-4073.4790386666668</v>
      </c>
      <c r="CZ54" s="3">
        <f t="shared" si="24"/>
        <v>-3673.6143623999997</v>
      </c>
      <c r="DA54" s="3">
        <f t="shared" si="20"/>
        <v>-1119.1755917999999</v>
      </c>
      <c r="DB54" s="3">
        <f t="shared" si="26"/>
        <v>-950.73886720000007</v>
      </c>
      <c r="DC54" s="3">
        <f t="shared" si="32"/>
        <v>-639.65869695999993</v>
      </c>
      <c r="DE54" s="3">
        <f t="shared" si="29"/>
        <v>-128.34094636</v>
      </c>
      <c r="DF54" s="3">
        <f t="shared" si="37"/>
        <v>-72.864637306666665</v>
      </c>
      <c r="DT54" s="3">
        <f t="shared" si="2"/>
        <v>-35706.878579999997</v>
      </c>
      <c r="DU54" s="3">
        <f t="shared" si="28"/>
        <v>-7643.7645309999998</v>
      </c>
      <c r="DV54" s="3">
        <f t="shared" si="30"/>
        <v>-7206.0852943333339</v>
      </c>
      <c r="DW54" s="3">
        <f t="shared" si="34"/>
        <v>-2202.121838</v>
      </c>
      <c r="DX54" s="3">
        <f t="shared" si="35"/>
        <v>-2036.7395193333334</v>
      </c>
      <c r="DY54" s="3">
        <f t="shared" si="25"/>
        <v>-1836.8071811999998</v>
      </c>
      <c r="DZ54" s="3">
        <f t="shared" si="22"/>
        <v>-559.58779589999995</v>
      </c>
      <c r="EA54" s="3">
        <f t="shared" si="27"/>
        <v>-475.36943360000004</v>
      </c>
      <c r="EB54" s="3">
        <f t="shared" si="33"/>
        <v>-319.82934847999996</v>
      </c>
      <c r="ED54" s="3">
        <f t="shared" si="36"/>
        <v>-64.170473180000002</v>
      </c>
      <c r="EE54" s="3">
        <f t="shared" si="38"/>
        <v>-36.432318653333333</v>
      </c>
      <c r="ES54" s="3">
        <v>7.3439304000000005</v>
      </c>
      <c r="ET54" s="3">
        <v>14.631895200000001</v>
      </c>
      <c r="EU54" s="3">
        <v>30.502288400000001</v>
      </c>
      <c r="EV54" s="3">
        <v>40.733629200000003</v>
      </c>
      <c r="EW54" s="3">
        <v>72.278536000000003</v>
      </c>
      <c r="FC54" s="32">
        <v>137.09916666666666</v>
      </c>
      <c r="FD54" s="16"/>
    </row>
    <row r="55" spans="3:160" ht="16" x14ac:dyDescent="0.2">
      <c r="C55" s="7" t="s">
        <v>51</v>
      </c>
      <c r="D55" s="3">
        <v>51</v>
      </c>
      <c r="E55" s="3">
        <v>121.76</v>
      </c>
      <c r="F55" s="3">
        <v>3.05</v>
      </c>
      <c r="G55" s="3">
        <v>2.0499999999999998</v>
      </c>
      <c r="H55" s="3">
        <v>6.6849999999999996</v>
      </c>
      <c r="I55" s="3">
        <v>903.78</v>
      </c>
      <c r="J55" s="3">
        <v>1860</v>
      </c>
      <c r="K55" s="28">
        <v>50.281999999999996</v>
      </c>
      <c r="L55" s="28">
        <v>46.975999999999999</v>
      </c>
      <c r="M55" s="28">
        <v>45.554000000000002</v>
      </c>
      <c r="N55" s="28">
        <v>40.079000000000001</v>
      </c>
      <c r="O55" s="28">
        <v>37.67966666666667</v>
      </c>
      <c r="P55" s="28">
        <v>34.292400000000001</v>
      </c>
      <c r="Q55" s="28">
        <v>29.922000000000001</v>
      </c>
      <c r="R55" s="28">
        <v>26.756666666666671</v>
      </c>
      <c r="S55" s="28">
        <v>20.4558</v>
      </c>
      <c r="T55" s="28"/>
      <c r="U55" s="28">
        <v>16.274999999999999</v>
      </c>
      <c r="V55" s="28">
        <v>12.668333333333331</v>
      </c>
      <c r="W55" s="28"/>
      <c r="X55" s="28"/>
      <c r="Y55"/>
      <c r="Z55"/>
      <c r="AA55" s="28"/>
      <c r="AB55" s="28"/>
      <c r="AC55" s="28"/>
      <c r="AD55" s="23"/>
      <c r="AE55" s="23"/>
      <c r="AF55" s="23"/>
      <c r="AG55" s="23"/>
      <c r="AH55" s="23"/>
      <c r="AI55" s="23"/>
      <c r="AP55" s="24">
        <v>0.95219999999999994</v>
      </c>
      <c r="AQ55" s="24">
        <v>5.5015999999999998</v>
      </c>
      <c r="AR55" s="24">
        <v>4.4083333333333332</v>
      </c>
      <c r="AS55" s="24">
        <v>15.87</v>
      </c>
      <c r="AT55" s="24">
        <v>15.534966666666667</v>
      </c>
      <c r="AU55" s="24">
        <v>12.949920000000001</v>
      </c>
      <c r="AV55" s="24">
        <v>38.299599999999998</v>
      </c>
      <c r="AW55" s="24">
        <v>40.486133333333335</v>
      </c>
      <c r="AX55" s="24">
        <v>44.933259999999997</v>
      </c>
      <c r="AY55" s="24"/>
      <c r="AZ55" s="24">
        <v>102.52019999999999</v>
      </c>
      <c r="BA55" s="24">
        <v>124.8969</v>
      </c>
      <c r="BB55" s="24"/>
      <c r="BC55" s="24"/>
      <c r="BD55" s="24"/>
      <c r="BE55" s="24"/>
      <c r="BF55" s="24"/>
      <c r="BG55" s="24"/>
      <c r="BH55" s="24"/>
      <c r="BO55" s="3">
        <v>246</v>
      </c>
      <c r="BP55" s="3">
        <v>247.00000000000003</v>
      </c>
      <c r="BQ55" s="3" t="s">
        <v>156</v>
      </c>
      <c r="BR55" s="3">
        <v>139</v>
      </c>
      <c r="BS55" s="3">
        <v>133</v>
      </c>
      <c r="BV55" s="3">
        <v>37276.863870000001</v>
      </c>
      <c r="BW55" s="3">
        <v>8009.0961349999998</v>
      </c>
      <c r="BX55" s="3">
        <v>7535.4268503333333</v>
      </c>
      <c r="BY55" s="3">
        <v>2325.6608409999999</v>
      </c>
      <c r="BZ55" s="3">
        <v>2150.3051496666667</v>
      </c>
      <c r="CA55" s="3">
        <v>1942.9753888</v>
      </c>
      <c r="CB55" s="3">
        <v>605.55870779999998</v>
      </c>
      <c r="CC55" s="3">
        <v>517.96019276666664</v>
      </c>
      <c r="CD55" s="3">
        <v>360.37562203999994</v>
      </c>
      <c r="CF55" s="3">
        <v>77.810756229999996</v>
      </c>
      <c r="CG55" s="3">
        <v>47.315110713333333</v>
      </c>
      <c r="CU55" s="3">
        <f t="shared" si="0"/>
        <v>-74553.727740000002</v>
      </c>
      <c r="CV55" s="3">
        <f t="shared" si="4"/>
        <v>-16018.19227</v>
      </c>
      <c r="CW55" s="3">
        <f t="shared" si="8"/>
        <v>-15070.853700666667</v>
      </c>
      <c r="CX55" s="3">
        <f t="shared" si="12"/>
        <v>-4651.3216819999998</v>
      </c>
      <c r="CY55" s="3">
        <f t="shared" si="16"/>
        <v>-4300.6102993333334</v>
      </c>
      <c r="CZ55" s="3">
        <f t="shared" si="24"/>
        <v>-3885.9507776</v>
      </c>
      <c r="DA55" s="3">
        <f t="shared" si="20"/>
        <v>-1211.1174156</v>
      </c>
      <c r="DB55" s="3">
        <f t="shared" si="26"/>
        <v>-1035.9203855333333</v>
      </c>
      <c r="DC55" s="3">
        <f t="shared" si="32"/>
        <v>-720.75124407999988</v>
      </c>
      <c r="DE55" s="3">
        <f t="shared" si="29"/>
        <v>-155.62151245999999</v>
      </c>
      <c r="DF55" s="3">
        <f t="shared" si="37"/>
        <v>-94.630221426666665</v>
      </c>
      <c r="DT55" s="3">
        <f t="shared" si="2"/>
        <v>-37276.863870000001</v>
      </c>
      <c r="DU55" s="3">
        <f t="shared" si="28"/>
        <v>-8009.0961349999998</v>
      </c>
      <c r="DV55" s="3">
        <f t="shared" si="30"/>
        <v>-7535.4268503333333</v>
      </c>
      <c r="DW55" s="3">
        <f t="shared" si="34"/>
        <v>-2325.6608409999999</v>
      </c>
      <c r="DX55" s="3">
        <f t="shared" si="35"/>
        <v>-2150.3051496666667</v>
      </c>
      <c r="DY55" s="3">
        <f t="shared" si="25"/>
        <v>-1942.9753888</v>
      </c>
      <c r="DZ55" s="3">
        <f t="shared" ref="DZ55:DZ86" si="39">-1*CB55</f>
        <v>-605.55870779999998</v>
      </c>
      <c r="EA55" s="3">
        <f t="shared" si="27"/>
        <v>-517.96019276666664</v>
      </c>
      <c r="EB55" s="3">
        <f t="shared" si="33"/>
        <v>-360.37562203999994</v>
      </c>
      <c r="ED55" s="3">
        <f t="shared" si="36"/>
        <v>-77.810756229999996</v>
      </c>
      <c r="EE55" s="3">
        <f t="shared" si="38"/>
        <v>-47.315110713333333</v>
      </c>
      <c r="ES55" s="3">
        <v>8.6187024000000001</v>
      </c>
      <c r="ET55" s="3">
        <v>16.53058</v>
      </c>
      <c r="EU55" s="3">
        <v>25.288160000000001</v>
      </c>
      <c r="EV55" s="3">
        <v>44.150640000000003</v>
      </c>
      <c r="EW55" s="3">
        <v>55.965600000000009</v>
      </c>
      <c r="EX55" s="3">
        <v>107.78560000000002</v>
      </c>
      <c r="FC55" s="32">
        <v>124.8969</v>
      </c>
      <c r="FD55" s="16"/>
    </row>
    <row r="56" spans="3:160" ht="16" x14ac:dyDescent="0.2">
      <c r="C56" s="7" t="s">
        <v>52</v>
      </c>
      <c r="D56" s="3">
        <v>52</v>
      </c>
      <c r="E56" s="3">
        <v>127.6</v>
      </c>
      <c r="F56" s="3">
        <v>3.14</v>
      </c>
      <c r="G56" s="3">
        <v>2.1</v>
      </c>
      <c r="H56" s="3">
        <v>6.2320000000000002</v>
      </c>
      <c r="I56" s="3">
        <v>722.66</v>
      </c>
      <c r="J56" s="3">
        <v>1261</v>
      </c>
      <c r="K56" s="28">
        <v>51.28</v>
      </c>
      <c r="L56" s="28">
        <v>47.970999999999997</v>
      </c>
      <c r="M56" s="28">
        <v>46.536333333333324</v>
      </c>
      <c r="N56" s="28">
        <v>41.070999999999998</v>
      </c>
      <c r="O56" s="28">
        <v>38.653666666666659</v>
      </c>
      <c r="P56" s="28">
        <v>35.279000000000003</v>
      </c>
      <c r="Q56" s="28">
        <v>30.951000000000001</v>
      </c>
      <c r="R56" s="28">
        <v>27.786666666666665</v>
      </c>
      <c r="S56" s="28">
        <v>21.636000000000003</v>
      </c>
      <c r="T56" s="28"/>
      <c r="U56" s="28">
        <v>17.440000000000001</v>
      </c>
      <c r="V56" s="28">
        <v>13.653666666666666</v>
      </c>
      <c r="W56" s="28"/>
      <c r="X56" s="28"/>
      <c r="Y56"/>
      <c r="Z56"/>
      <c r="AA56" s="28"/>
      <c r="AB56" s="28"/>
      <c r="AC56" s="28"/>
      <c r="AD56" s="23"/>
      <c r="AE56" s="23"/>
      <c r="AF56" s="23"/>
      <c r="AG56" s="23"/>
      <c r="AH56" s="23"/>
      <c r="AI56" s="23"/>
      <c r="AP56" s="24">
        <v>0.95219999999999994</v>
      </c>
      <c r="AQ56" s="24">
        <v>5.3957999999999995</v>
      </c>
      <c r="AR56" s="24">
        <v>4.3025333333333329</v>
      </c>
      <c r="AS56" s="24">
        <v>15.499699999999999</v>
      </c>
      <c r="AT56" s="24">
        <v>15.164666666666667</v>
      </c>
      <c r="AU56" s="24">
        <v>12.63252</v>
      </c>
      <c r="AV56" s="24">
        <v>37.135799999999996</v>
      </c>
      <c r="AW56" s="24">
        <v>39.16363333333333</v>
      </c>
      <c r="AX56" s="24">
        <v>43.028860000000002</v>
      </c>
      <c r="AY56" s="24"/>
      <c r="AZ56" s="24">
        <v>96.7012</v>
      </c>
      <c r="BA56" s="24">
        <v>115.60413333333332</v>
      </c>
      <c r="BB56" s="24"/>
      <c r="BC56" s="24"/>
      <c r="BD56" s="24"/>
      <c r="BE56" s="24"/>
      <c r="BF56" s="24"/>
      <c r="BG56" s="24"/>
      <c r="BH56" s="24"/>
      <c r="BO56" s="3">
        <v>242</v>
      </c>
      <c r="BP56" s="3">
        <v>199</v>
      </c>
      <c r="BQ56" s="3" t="s">
        <v>156</v>
      </c>
      <c r="BR56" s="3">
        <v>138</v>
      </c>
      <c r="BS56" s="3">
        <v>123</v>
      </c>
      <c r="BV56" s="3">
        <v>38888.441749999998</v>
      </c>
      <c r="BW56" s="3">
        <v>8385.3512050000008</v>
      </c>
      <c r="BX56" s="3">
        <v>7873.1459749999995</v>
      </c>
      <c r="BY56" s="3">
        <v>2453.3070480000001</v>
      </c>
      <c r="BZ56" s="3">
        <v>2267.3499293333334</v>
      </c>
      <c r="CA56" s="3">
        <v>2052.1027798000005</v>
      </c>
      <c r="CB56" s="3">
        <v>653.83534910000003</v>
      </c>
      <c r="CC56" s="3">
        <v>562.44625200000007</v>
      </c>
      <c r="CD56" s="3">
        <v>402.22541339999998</v>
      </c>
      <c r="CF56" s="3">
        <v>92.261405159999995</v>
      </c>
      <c r="CG56" s="3">
        <v>58.142915826666666</v>
      </c>
      <c r="CU56" s="3">
        <f t="shared" si="0"/>
        <v>-77776.883499999996</v>
      </c>
      <c r="CV56" s="3">
        <f t="shared" si="4"/>
        <v>-16770.702410000002</v>
      </c>
      <c r="CW56" s="3">
        <f t="shared" si="8"/>
        <v>-15746.291949999999</v>
      </c>
      <c r="CX56" s="3">
        <f t="shared" si="12"/>
        <v>-4906.6140960000002</v>
      </c>
      <c r="CY56" s="3">
        <f t="shared" si="16"/>
        <v>-4534.6998586666668</v>
      </c>
      <c r="CZ56" s="3">
        <f t="shared" si="24"/>
        <v>-4104.2055596000009</v>
      </c>
      <c r="DA56" s="3">
        <f t="shared" si="20"/>
        <v>-1307.6706982000001</v>
      </c>
      <c r="DB56" s="3">
        <f t="shared" si="26"/>
        <v>-1124.8925040000001</v>
      </c>
      <c r="DC56" s="3">
        <f t="shared" si="32"/>
        <v>-804.45082679999996</v>
      </c>
      <c r="DE56" s="3">
        <f t="shared" si="29"/>
        <v>-184.52281031999999</v>
      </c>
      <c r="DF56" s="3">
        <f t="shared" si="37"/>
        <v>-116.28583165333333</v>
      </c>
      <c r="DT56" s="3">
        <f t="shared" si="2"/>
        <v>-38888.441749999998</v>
      </c>
      <c r="DU56" s="3">
        <f t="shared" si="28"/>
        <v>-8385.3512050000008</v>
      </c>
      <c r="DV56" s="3">
        <f t="shared" si="30"/>
        <v>-7873.1459749999995</v>
      </c>
      <c r="DW56" s="3">
        <f t="shared" si="34"/>
        <v>-2453.3070480000001</v>
      </c>
      <c r="DX56" s="3">
        <f t="shared" si="35"/>
        <v>-2267.3499293333334</v>
      </c>
      <c r="DY56" s="3">
        <f t="shared" si="25"/>
        <v>-2052.1027798000005</v>
      </c>
      <c r="DZ56" s="3">
        <f t="shared" si="39"/>
        <v>-653.83534910000003</v>
      </c>
      <c r="EA56" s="3">
        <f t="shared" si="27"/>
        <v>-562.44625200000007</v>
      </c>
      <c r="EB56" s="3">
        <f t="shared" si="33"/>
        <v>-402.22541339999998</v>
      </c>
      <c r="ED56" s="3">
        <f t="shared" si="36"/>
        <v>-92.261405159999995</v>
      </c>
      <c r="EE56" s="3">
        <f t="shared" si="38"/>
        <v>-58.142915826666666</v>
      </c>
      <c r="ES56" s="3">
        <v>9.0094252000000008</v>
      </c>
      <c r="ET56" s="3">
        <v>18.551560000000002</v>
      </c>
      <c r="EU56" s="3">
        <v>27.962072000000003</v>
      </c>
      <c r="EV56" s="3">
        <v>37.41404</v>
      </c>
      <c r="EW56" s="3">
        <v>58.753515999999998</v>
      </c>
      <c r="EX56" s="3">
        <v>70.682480000000012</v>
      </c>
      <c r="EY56" s="3">
        <v>136.8048</v>
      </c>
      <c r="FC56" s="32">
        <v>115.60413333333332</v>
      </c>
      <c r="FD56" s="16"/>
    </row>
    <row r="57" spans="3:160" ht="16" x14ac:dyDescent="0.2">
      <c r="C57" s="7" t="s">
        <v>53</v>
      </c>
      <c r="D57" s="3">
        <v>53</v>
      </c>
      <c r="E57" s="3">
        <v>126.90447</v>
      </c>
      <c r="F57" s="3">
        <v>3.2</v>
      </c>
      <c r="G57" s="3">
        <v>2.66</v>
      </c>
      <c r="H57" s="3">
        <v>4.93</v>
      </c>
      <c r="I57" s="3">
        <v>386.85</v>
      </c>
      <c r="J57" s="3">
        <v>457.55</v>
      </c>
      <c r="K57" s="28">
        <v>52.277000000000001</v>
      </c>
      <c r="L57" s="28">
        <v>48.966999999999999</v>
      </c>
      <c r="M57" s="28">
        <v>47.519333333333329</v>
      </c>
      <c r="N57" s="28">
        <v>42.064</v>
      </c>
      <c r="O57" s="28">
        <v>39.628666666666668</v>
      </c>
      <c r="P57" s="28">
        <v>36.263999999999996</v>
      </c>
      <c r="Q57" s="28">
        <v>31.984000000000002</v>
      </c>
      <c r="R57" s="28">
        <v>28.819999999999997</v>
      </c>
      <c r="S57" s="28">
        <v>22.784000000000002</v>
      </c>
      <c r="T57" s="28"/>
      <c r="U57" s="28">
        <v>18.545999999999999</v>
      </c>
      <c r="V57" s="28">
        <v>14.690666666666667</v>
      </c>
      <c r="W57" s="28"/>
      <c r="X57" s="28"/>
      <c r="Y57"/>
      <c r="Z57"/>
      <c r="AA57" s="28"/>
      <c r="AB57" s="28"/>
      <c r="AC57" s="28"/>
      <c r="AD57" s="23"/>
      <c r="AE57" s="23"/>
      <c r="AF57" s="23"/>
      <c r="AG57" s="23"/>
      <c r="AH57" s="23"/>
      <c r="AI57" s="23"/>
      <c r="AP57" s="24">
        <v>0.95219999999999994</v>
      </c>
      <c r="AQ57" s="24">
        <v>5.2370999999999999</v>
      </c>
      <c r="AR57" s="24">
        <v>4.1967333333333325</v>
      </c>
      <c r="AS57" s="24">
        <v>15.076499999999998</v>
      </c>
      <c r="AT57" s="24">
        <v>14.794366666666667</v>
      </c>
      <c r="AU57" s="24">
        <v>12.262220000000001</v>
      </c>
      <c r="AV57" s="24">
        <v>36.077800000000003</v>
      </c>
      <c r="AW57" s="24">
        <v>37.894033333333333</v>
      </c>
      <c r="AX57" s="24">
        <v>41.283159999999995</v>
      </c>
      <c r="AY57" s="24"/>
      <c r="AZ57" s="24">
        <v>91.569900000000004</v>
      </c>
      <c r="BA57" s="24">
        <v>107.98653333333333</v>
      </c>
      <c r="BB57" s="24"/>
      <c r="BC57" s="24"/>
      <c r="BD57" s="24"/>
      <c r="BE57" s="24"/>
      <c r="BF57" s="24"/>
      <c r="BG57" s="24"/>
      <c r="BH57" s="24"/>
      <c r="BO57" s="3">
        <v>238</v>
      </c>
      <c r="BP57" s="3">
        <v>204</v>
      </c>
      <c r="BQ57" s="3" t="s">
        <v>156</v>
      </c>
      <c r="BR57" s="3">
        <v>139</v>
      </c>
      <c r="BS57" s="3">
        <v>114.99999999999999</v>
      </c>
      <c r="BV57" s="3">
        <v>40542.668030000001</v>
      </c>
      <c r="BW57" s="3">
        <v>8772.8010379999996</v>
      </c>
      <c r="BX57" s="3">
        <v>8219.3262073333335</v>
      </c>
      <c r="BY57" s="3">
        <v>2585.1531960000002</v>
      </c>
      <c r="BZ57" s="3">
        <v>2387.9118159999998</v>
      </c>
      <c r="CA57" s="3">
        <v>2164.1875530000002</v>
      </c>
      <c r="CB57" s="3">
        <v>704.35263010000006</v>
      </c>
      <c r="CC57" s="3">
        <v>609.06530273333328</v>
      </c>
      <c r="CD57" s="3">
        <v>445.50292615999996</v>
      </c>
      <c r="CF57" s="3">
        <v>107.1552731</v>
      </c>
      <c r="CG57" s="3">
        <v>70.054897756666662</v>
      </c>
      <c r="CU57" s="3">
        <f t="shared" si="0"/>
        <v>-81085.336060000001</v>
      </c>
      <c r="CV57" s="3">
        <f t="shared" si="4"/>
        <v>-17545.602075999999</v>
      </c>
      <c r="CW57" s="3">
        <f t="shared" si="8"/>
        <v>-16438.652414666667</v>
      </c>
      <c r="CX57" s="3">
        <f t="shared" si="12"/>
        <v>-5170.3063920000004</v>
      </c>
      <c r="CY57" s="3">
        <f t="shared" si="16"/>
        <v>-4775.8236319999996</v>
      </c>
      <c r="CZ57" s="3">
        <f t="shared" si="24"/>
        <v>-4328.3751060000004</v>
      </c>
      <c r="DA57" s="3">
        <f t="shared" si="20"/>
        <v>-1408.7052602000001</v>
      </c>
      <c r="DB57" s="3">
        <f t="shared" si="26"/>
        <v>-1218.1306054666666</v>
      </c>
      <c r="DC57" s="3">
        <f t="shared" si="32"/>
        <v>-891.00585231999992</v>
      </c>
      <c r="DE57" s="3">
        <f t="shared" si="29"/>
        <v>-214.3105462</v>
      </c>
      <c r="DF57" s="3">
        <f t="shared" si="37"/>
        <v>-140.10979551333332</v>
      </c>
      <c r="DT57" s="3">
        <f t="shared" si="2"/>
        <v>-40542.668030000001</v>
      </c>
      <c r="DU57" s="3">
        <f t="shared" si="28"/>
        <v>-8772.8010379999996</v>
      </c>
      <c r="DV57" s="3">
        <f t="shared" si="30"/>
        <v>-8219.3262073333335</v>
      </c>
      <c r="DW57" s="3">
        <f t="shared" si="34"/>
        <v>-2585.1531960000002</v>
      </c>
      <c r="DX57" s="3">
        <f t="shared" si="35"/>
        <v>-2387.9118159999998</v>
      </c>
      <c r="DY57" s="3">
        <f t="shared" ref="DY57:DY88" si="40">-1*CA57</f>
        <v>-2164.1875530000002</v>
      </c>
      <c r="DZ57" s="3">
        <f t="shared" si="39"/>
        <v>-704.35263010000006</v>
      </c>
      <c r="EA57" s="3">
        <f t="shared" si="27"/>
        <v>-609.06530273333328</v>
      </c>
      <c r="EB57" s="3">
        <f t="shared" si="33"/>
        <v>-445.50292615999996</v>
      </c>
      <c r="ED57" s="3">
        <f t="shared" si="36"/>
        <v>-107.1552731</v>
      </c>
      <c r="EE57" s="3">
        <f t="shared" si="38"/>
        <v>-70.054897756666662</v>
      </c>
      <c r="ES57" s="3">
        <v>10.4510576</v>
      </c>
      <c r="ET57" s="3">
        <v>19.130907600000004</v>
      </c>
      <c r="EU57" s="3">
        <v>33.164800000000007</v>
      </c>
      <c r="FC57" s="32">
        <v>107.98653333333333</v>
      </c>
      <c r="FD57" s="16"/>
    </row>
    <row r="58" spans="3:160" ht="16" x14ac:dyDescent="0.2">
      <c r="C58" s="7" t="s">
        <v>54</v>
      </c>
      <c r="D58" s="3">
        <v>54</v>
      </c>
      <c r="E58" s="3">
        <v>131.29300000000001</v>
      </c>
      <c r="F58" s="3">
        <v>3.12</v>
      </c>
      <c r="G58" s="3">
        <v>2.6</v>
      </c>
      <c r="H58" s="3">
        <v>5.8869999999999996</v>
      </c>
      <c r="I58" s="3">
        <v>161.36000000000001</v>
      </c>
      <c r="J58" s="3">
        <v>165.03</v>
      </c>
      <c r="K58" s="28">
        <v>53.274000000000001</v>
      </c>
      <c r="L58" s="28">
        <v>49.963000000000001</v>
      </c>
      <c r="M58" s="28">
        <v>48.501666666666665</v>
      </c>
      <c r="N58" s="28">
        <v>43.06</v>
      </c>
      <c r="O58" s="28">
        <v>40.605333333333334</v>
      </c>
      <c r="P58" s="28">
        <v>37.249000000000002</v>
      </c>
      <c r="Q58" s="28">
        <v>33.017000000000003</v>
      </c>
      <c r="R58" s="28">
        <v>29.864333333333331</v>
      </c>
      <c r="S58" s="28">
        <v>23.905799999999999</v>
      </c>
      <c r="T58" s="28"/>
      <c r="U58" s="28">
        <v>19.609000000000002</v>
      </c>
      <c r="V58" s="28">
        <v>15.741333333333335</v>
      </c>
      <c r="W58" s="28"/>
      <c r="X58" s="28"/>
      <c r="Y58"/>
      <c r="Z58"/>
      <c r="AA58" s="28"/>
      <c r="AB58" s="28"/>
      <c r="AC58" s="28"/>
      <c r="AD58" s="23"/>
      <c r="AE58" s="23"/>
      <c r="AF58" s="23"/>
      <c r="AG58" s="23"/>
      <c r="AH58" s="23"/>
      <c r="AI58" s="23"/>
      <c r="AP58" s="24">
        <v>0.89929999999999999</v>
      </c>
      <c r="AQ58" s="24">
        <v>5.1313000000000004</v>
      </c>
      <c r="AR58" s="24">
        <v>4.1085666666666665</v>
      </c>
      <c r="AS58" s="24">
        <v>14.7591</v>
      </c>
      <c r="AT58" s="24">
        <v>14.424066666666668</v>
      </c>
      <c r="AU58" s="24">
        <v>11.976560000000001</v>
      </c>
      <c r="AV58" s="24">
        <v>35.019800000000004</v>
      </c>
      <c r="AW58" s="24">
        <v>36.730233333333338</v>
      </c>
      <c r="AX58" s="24">
        <v>39.696159999999999</v>
      </c>
      <c r="AY58" s="24"/>
      <c r="AZ58" s="24">
        <v>87.232100000000003</v>
      </c>
      <c r="BA58" s="24">
        <v>101.49746666666668</v>
      </c>
      <c r="BB58" s="24"/>
      <c r="BC58" s="24"/>
      <c r="BD58" s="24"/>
      <c r="BE58" s="24"/>
      <c r="BF58" s="24"/>
      <c r="BG58" s="24"/>
      <c r="BH58" s="24"/>
      <c r="BO58" s="3">
        <v>231.99999999999997</v>
      </c>
      <c r="BP58" s="3">
        <v>206</v>
      </c>
      <c r="BQ58" s="3" t="s">
        <v>156</v>
      </c>
      <c r="BR58" s="3">
        <v>140</v>
      </c>
      <c r="BS58" s="3">
        <v>108</v>
      </c>
      <c r="BV58" s="3">
        <v>42240.092389999998</v>
      </c>
      <c r="BW58" s="3">
        <v>9171.661693</v>
      </c>
      <c r="BX58" s="3">
        <v>8574.0759390000003</v>
      </c>
      <c r="BY58" s="3">
        <v>2721.2627419999999</v>
      </c>
      <c r="BZ58" s="3">
        <v>2512.036235</v>
      </c>
      <c r="CA58" s="3">
        <v>2279.2390092000001</v>
      </c>
      <c r="CB58" s="3">
        <v>757.08072730000004</v>
      </c>
      <c r="CC58" s="3">
        <v>658.10271993333333</v>
      </c>
      <c r="CD58" s="3">
        <v>490.20016027999998</v>
      </c>
      <c r="CF58" s="3">
        <v>122.53371319999999</v>
      </c>
      <c r="CG58" s="3">
        <v>82.469382329999988</v>
      </c>
      <c r="CU58" s="3">
        <f t="shared" si="0"/>
        <v>-84480.184779999996</v>
      </c>
      <c r="CV58" s="3">
        <f t="shared" si="4"/>
        <v>-18343.323386</v>
      </c>
      <c r="CW58" s="3">
        <f t="shared" si="8"/>
        <v>-17148.151878000001</v>
      </c>
      <c r="CX58" s="3">
        <f t="shared" si="12"/>
        <v>-5442.5254839999998</v>
      </c>
      <c r="CY58" s="3">
        <f t="shared" si="16"/>
        <v>-5024.0724700000001</v>
      </c>
      <c r="CZ58" s="3">
        <f t="shared" si="24"/>
        <v>-4558.4780184000001</v>
      </c>
      <c r="DA58" s="3">
        <f t="shared" si="20"/>
        <v>-1514.1614546000001</v>
      </c>
      <c r="DB58" s="3">
        <f t="shared" si="26"/>
        <v>-1316.2054398666667</v>
      </c>
      <c r="DC58" s="3">
        <f t="shared" si="32"/>
        <v>-980.40032055999995</v>
      </c>
      <c r="DE58" s="3">
        <f t="shared" si="29"/>
        <v>-245.06742639999999</v>
      </c>
      <c r="DF58" s="3">
        <f t="shared" si="37"/>
        <v>-164.93876465999998</v>
      </c>
      <c r="DT58" s="3">
        <f t="shared" si="2"/>
        <v>-42240.092389999998</v>
      </c>
      <c r="DU58" s="3">
        <f t="shared" si="28"/>
        <v>-9171.661693</v>
      </c>
      <c r="DV58" s="3">
        <f t="shared" si="30"/>
        <v>-8574.0759390000003</v>
      </c>
      <c r="DW58" s="3">
        <f t="shared" si="34"/>
        <v>-2721.2627419999999</v>
      </c>
      <c r="DX58" s="3">
        <f t="shared" si="35"/>
        <v>-2512.036235</v>
      </c>
      <c r="DY58" s="3">
        <f t="shared" si="40"/>
        <v>-2279.2390092000001</v>
      </c>
      <c r="DZ58" s="3">
        <f t="shared" si="39"/>
        <v>-757.08072730000004</v>
      </c>
      <c r="EA58" s="3">
        <f t="shared" si="27"/>
        <v>-658.10271993333333</v>
      </c>
      <c r="EB58" s="3">
        <f t="shared" si="33"/>
        <v>-490.20016027999998</v>
      </c>
      <c r="ED58" s="3">
        <f t="shared" si="36"/>
        <v>-122.53371319999999</v>
      </c>
      <c r="EE58" s="3">
        <f t="shared" si="38"/>
        <v>-82.469382329999988</v>
      </c>
      <c r="ES58" s="3">
        <v>12.130025600000002</v>
      </c>
      <c r="ET58" s="3">
        <v>21.204743999999998</v>
      </c>
      <c r="EV58" s="3">
        <v>32.128400000000006</v>
      </c>
      <c r="FC58" s="32">
        <v>101.49746666666668</v>
      </c>
      <c r="FD58" s="16"/>
    </row>
    <row r="59" spans="3:160" ht="16" x14ac:dyDescent="0.2">
      <c r="C59" s="7" t="s">
        <v>55</v>
      </c>
      <c r="D59" s="3">
        <v>55</v>
      </c>
      <c r="E59" s="3">
        <v>132.90545195999999</v>
      </c>
      <c r="F59" s="3">
        <v>1.97</v>
      </c>
      <c r="G59" s="3">
        <v>0.79</v>
      </c>
      <c r="H59" s="3">
        <v>1.93</v>
      </c>
      <c r="I59" s="3">
        <v>301.58999999999997</v>
      </c>
      <c r="J59" s="3">
        <v>944</v>
      </c>
      <c r="K59" s="28">
        <v>54.271000000000001</v>
      </c>
      <c r="L59" s="28">
        <v>50.96</v>
      </c>
      <c r="M59" s="28">
        <v>49.485666666666667</v>
      </c>
      <c r="N59" s="28">
        <v>44.058</v>
      </c>
      <c r="O59" s="28">
        <v>41.582666666666661</v>
      </c>
      <c r="P59" s="28">
        <v>38.233000000000004</v>
      </c>
      <c r="Q59" s="28">
        <v>34.055999999999997</v>
      </c>
      <c r="R59" s="28">
        <v>30.895</v>
      </c>
      <c r="S59" s="28">
        <v>25.03</v>
      </c>
      <c r="T59" s="28"/>
      <c r="U59" s="28">
        <v>21.088000000000001</v>
      </c>
      <c r="V59" s="28">
        <v>17.434000000000001</v>
      </c>
      <c r="W59" s="28"/>
      <c r="X59" s="28"/>
      <c r="Y59">
        <v>8.8689999999999998</v>
      </c>
      <c r="Z59"/>
      <c r="AA59" s="28"/>
      <c r="AB59" s="28"/>
      <c r="AC59" s="28"/>
      <c r="AD59" s="23"/>
      <c r="AE59" s="23"/>
      <c r="AF59" s="23"/>
      <c r="AG59" s="23"/>
      <c r="AH59" s="23"/>
      <c r="AI59" s="23"/>
      <c r="AP59" s="24">
        <v>0.89929999999999999</v>
      </c>
      <c r="AQ59" s="24">
        <v>5.0255000000000001</v>
      </c>
      <c r="AR59" s="24">
        <v>4.0380333333333329</v>
      </c>
      <c r="AS59" s="24">
        <v>14.3888</v>
      </c>
      <c r="AT59" s="24">
        <v>14.106666666666667</v>
      </c>
      <c r="AU59" s="24">
        <v>11.68032</v>
      </c>
      <c r="AV59" s="24">
        <v>34.014699999999998</v>
      </c>
      <c r="AW59" s="24">
        <v>35.636966666666666</v>
      </c>
      <c r="AX59" s="24">
        <v>38.23612</v>
      </c>
      <c r="AY59" s="24"/>
      <c r="AZ59" s="24">
        <v>82.629800000000003</v>
      </c>
      <c r="BA59" s="24">
        <v>94.408866666666668</v>
      </c>
      <c r="BB59" s="24"/>
      <c r="BC59" s="24"/>
      <c r="BD59" s="24">
        <v>271.64150000000001</v>
      </c>
      <c r="BE59" s="24"/>
      <c r="BF59" s="24"/>
      <c r="BG59" s="24"/>
      <c r="BH59" s="24"/>
      <c r="BO59" s="3">
        <v>249.00000000000003</v>
      </c>
      <c r="BP59" s="3">
        <v>348</v>
      </c>
      <c r="BQ59" s="3">
        <v>265</v>
      </c>
      <c r="BR59" s="3">
        <v>244</v>
      </c>
      <c r="BS59" s="3">
        <v>298</v>
      </c>
      <c r="BV59" s="3">
        <v>43981.732519999998</v>
      </c>
      <c r="BW59" s="3">
        <v>9582.3046049999994</v>
      </c>
      <c r="BX59" s="3">
        <v>8937.5031993333323</v>
      </c>
      <c r="BY59" s="3">
        <v>2861.842193</v>
      </c>
      <c r="BZ59" s="3">
        <v>2639.7016256666666</v>
      </c>
      <c r="CA59" s="3">
        <v>2397.3269946</v>
      </c>
      <c r="CB59" s="3">
        <v>812.30193139999994</v>
      </c>
      <c r="CC59" s="3">
        <v>708.68689563333328</v>
      </c>
      <c r="CD59" s="3">
        <v>536.98527488000002</v>
      </c>
      <c r="CF59" s="3">
        <v>145.9142377</v>
      </c>
      <c r="CG59" s="3">
        <v>104.53674163333334</v>
      </c>
      <c r="CJ59" s="3">
        <v>9.7499800640000007</v>
      </c>
      <c r="CU59" s="3">
        <f t="shared" si="0"/>
        <v>-87963.465039999995</v>
      </c>
      <c r="CV59" s="3">
        <f t="shared" si="4"/>
        <v>-19164.609209999999</v>
      </c>
      <c r="CW59" s="3">
        <f t="shared" si="8"/>
        <v>-17875.006398666665</v>
      </c>
      <c r="CX59" s="3">
        <f t="shared" si="12"/>
        <v>-5723.6843859999999</v>
      </c>
      <c r="CY59" s="3">
        <f t="shared" si="16"/>
        <v>-5279.4032513333332</v>
      </c>
      <c r="CZ59" s="3">
        <f t="shared" si="24"/>
        <v>-4794.6539892000001</v>
      </c>
      <c r="DA59" s="3">
        <f t="shared" si="20"/>
        <v>-1624.6038627999999</v>
      </c>
      <c r="DB59" s="3">
        <f t="shared" si="26"/>
        <v>-1417.3737912666666</v>
      </c>
      <c r="DC59" s="3">
        <f t="shared" si="32"/>
        <v>-1073.97054976</v>
      </c>
      <c r="DE59" s="3">
        <f t="shared" si="29"/>
        <v>-291.8284754</v>
      </c>
      <c r="DF59" s="3">
        <f t="shared" si="37"/>
        <v>-209.07348326666667</v>
      </c>
      <c r="DI59" s="3">
        <f t="shared" ref="DI59:DI69" si="41">-2*CJ59</f>
        <v>-19.499960128000001</v>
      </c>
      <c r="DT59" s="3">
        <f t="shared" si="2"/>
        <v>-43981.732519999998</v>
      </c>
      <c r="DU59" s="3">
        <f t="shared" si="28"/>
        <v>-9582.3046049999994</v>
      </c>
      <c r="DV59" s="3">
        <f t="shared" si="30"/>
        <v>-8937.5031993333323</v>
      </c>
      <c r="DW59" s="3">
        <f t="shared" si="34"/>
        <v>-2861.842193</v>
      </c>
      <c r="DX59" s="3">
        <f t="shared" si="35"/>
        <v>-2639.7016256666666</v>
      </c>
      <c r="DY59" s="3">
        <f t="shared" si="40"/>
        <v>-2397.3269946</v>
      </c>
      <c r="DZ59" s="3">
        <f t="shared" si="39"/>
        <v>-812.30193139999994</v>
      </c>
      <c r="EA59" s="3">
        <f t="shared" si="27"/>
        <v>-708.68689563333328</v>
      </c>
      <c r="EB59" s="3">
        <f t="shared" si="33"/>
        <v>-536.98527488000002</v>
      </c>
      <c r="ED59" s="3">
        <f t="shared" si="36"/>
        <v>-145.9142377</v>
      </c>
      <c r="EE59" s="3">
        <f t="shared" si="38"/>
        <v>-104.53674163333334</v>
      </c>
      <c r="EH59" s="3">
        <f t="shared" ref="EH59:EH99" si="42">-1*CJ59</f>
        <v>-9.7499800640000007</v>
      </c>
      <c r="ES59" s="3">
        <v>3.8937548</v>
      </c>
      <c r="ET59" s="3">
        <v>23.111720000000002</v>
      </c>
      <c r="FC59" s="32">
        <v>271.64150000000001</v>
      </c>
      <c r="FD59" s="16"/>
    </row>
    <row r="60" spans="3:160" ht="16" x14ac:dyDescent="0.2">
      <c r="C60" s="7" t="s">
        <v>56</v>
      </c>
      <c r="D60" s="3">
        <v>56</v>
      </c>
      <c r="E60" s="3">
        <v>137.327</v>
      </c>
      <c r="F60" s="3">
        <v>2.02</v>
      </c>
      <c r="G60" s="3">
        <v>0.89</v>
      </c>
      <c r="H60" s="3">
        <v>3.62</v>
      </c>
      <c r="I60" s="3">
        <v>1000</v>
      </c>
      <c r="J60" s="3">
        <v>2170</v>
      </c>
      <c r="K60" s="28">
        <v>55.268999999999998</v>
      </c>
      <c r="L60" s="28">
        <v>51.957999999999998</v>
      </c>
      <c r="M60" s="28">
        <v>50.469333333333338</v>
      </c>
      <c r="N60" s="28">
        <v>45.058</v>
      </c>
      <c r="O60" s="28">
        <v>42.56133333333333</v>
      </c>
      <c r="P60" s="28">
        <v>39.216799999999999</v>
      </c>
      <c r="Q60" s="28">
        <v>35.098999999999997</v>
      </c>
      <c r="R60" s="28">
        <v>31.925999999999998</v>
      </c>
      <c r="S60" s="28">
        <v>26.1432</v>
      </c>
      <c r="T60" s="28"/>
      <c r="U60" s="28">
        <v>22.516999999999999</v>
      </c>
      <c r="V60" s="28">
        <v>18.924333333333333</v>
      </c>
      <c r="W60" s="28"/>
      <c r="X60" s="28"/>
      <c r="Y60">
        <v>10.612</v>
      </c>
      <c r="Z60"/>
      <c r="AA60" s="28"/>
      <c r="AB60" s="28"/>
      <c r="AC60" s="28"/>
      <c r="AD60" s="23"/>
      <c r="AE60" s="23"/>
      <c r="AF60" s="23"/>
      <c r="AG60" s="23"/>
      <c r="AH60" s="23"/>
      <c r="AI60" s="23"/>
      <c r="AP60" s="24">
        <v>0.84640000000000004</v>
      </c>
      <c r="AQ60" s="24">
        <v>4.9196999999999997</v>
      </c>
      <c r="AR60" s="24">
        <v>3.9322333333333326</v>
      </c>
      <c r="AS60" s="24">
        <v>14.071400000000001</v>
      </c>
      <c r="AT60" s="24">
        <v>13.789266666666668</v>
      </c>
      <c r="AU60" s="24">
        <v>11.41582</v>
      </c>
      <c r="AV60" s="24">
        <v>33.0625</v>
      </c>
      <c r="AW60" s="24">
        <v>34.614233333333338</v>
      </c>
      <c r="AX60" s="24">
        <v>36.913619999999995</v>
      </c>
      <c r="AY60" s="24"/>
      <c r="AZ60" s="24">
        <v>78.450699999999998</v>
      </c>
      <c r="BA60" s="24">
        <v>88.660399999999996</v>
      </c>
      <c r="BB60" s="24"/>
      <c r="BC60" s="24"/>
      <c r="BD60" s="24">
        <v>227.04679999999999</v>
      </c>
      <c r="BE60" s="24"/>
      <c r="BF60" s="24"/>
      <c r="BG60" s="24"/>
      <c r="BH60" s="24"/>
      <c r="BO60" s="3">
        <v>293</v>
      </c>
      <c r="BP60" s="3">
        <v>303</v>
      </c>
      <c r="BQ60" s="3">
        <v>222</v>
      </c>
      <c r="BR60" s="3">
        <v>215</v>
      </c>
      <c r="BS60" s="3">
        <v>252.99999999999997</v>
      </c>
      <c r="BV60" s="3">
        <v>45768.304089999998</v>
      </c>
      <c r="BW60" s="3">
        <v>10004.95046</v>
      </c>
      <c r="BX60" s="3">
        <v>9309.7198283333328</v>
      </c>
      <c r="BY60" s="3">
        <v>3006.9316589999999</v>
      </c>
      <c r="BZ60" s="3">
        <v>2770.9882266666668</v>
      </c>
      <c r="CA60" s="3">
        <v>2518.4533047999998</v>
      </c>
      <c r="CB60" s="3">
        <v>869.93044510000004</v>
      </c>
      <c r="CC60" s="3">
        <v>761.24851353333327</v>
      </c>
      <c r="CD60" s="3">
        <v>585.55633788</v>
      </c>
      <c r="CF60" s="3">
        <v>171.2468523</v>
      </c>
      <c r="CG60" s="3">
        <v>127.18179133333332</v>
      </c>
      <c r="CJ60" s="3">
        <v>16.481949350000001</v>
      </c>
      <c r="CU60" s="3">
        <f t="shared" si="0"/>
        <v>-91536.608179999996</v>
      </c>
      <c r="CV60" s="3">
        <f t="shared" si="4"/>
        <v>-20009.90092</v>
      </c>
      <c r="CW60" s="3">
        <f t="shared" si="8"/>
        <v>-18619.439656666666</v>
      </c>
      <c r="CX60" s="3">
        <f t="shared" si="12"/>
        <v>-6013.8633179999997</v>
      </c>
      <c r="CY60" s="3">
        <f t="shared" si="16"/>
        <v>-5541.9764533333337</v>
      </c>
      <c r="CZ60" s="3">
        <f t="shared" si="24"/>
        <v>-5036.9066095999997</v>
      </c>
      <c r="DA60" s="3">
        <f t="shared" si="20"/>
        <v>-1739.8608902000001</v>
      </c>
      <c r="DB60" s="3">
        <f t="shared" si="26"/>
        <v>-1522.4970270666665</v>
      </c>
      <c r="DC60" s="3">
        <f t="shared" si="32"/>
        <v>-1171.11267576</v>
      </c>
      <c r="DE60" s="3">
        <f t="shared" si="29"/>
        <v>-342.4937046</v>
      </c>
      <c r="DF60" s="3">
        <f t="shared" si="37"/>
        <v>-254.36358266666664</v>
      </c>
      <c r="DI60" s="3">
        <f t="shared" si="41"/>
        <v>-32.963898700000001</v>
      </c>
      <c r="DT60" s="3">
        <f t="shared" si="2"/>
        <v>-45768.304089999998</v>
      </c>
      <c r="DU60" s="3">
        <f t="shared" si="28"/>
        <v>-10004.95046</v>
      </c>
      <c r="DV60" s="3">
        <f t="shared" si="30"/>
        <v>-9309.7198283333328</v>
      </c>
      <c r="DW60" s="3">
        <f t="shared" si="34"/>
        <v>-3006.9316589999999</v>
      </c>
      <c r="DX60" s="3">
        <f t="shared" si="35"/>
        <v>-2770.9882266666668</v>
      </c>
      <c r="DY60" s="3">
        <f t="shared" si="40"/>
        <v>-2518.4533047999998</v>
      </c>
      <c r="DZ60" s="3">
        <f t="shared" si="39"/>
        <v>-869.93044510000004</v>
      </c>
      <c r="EA60" s="3">
        <f t="shared" si="27"/>
        <v>-761.24851353333327</v>
      </c>
      <c r="EB60" s="3">
        <f t="shared" si="33"/>
        <v>-585.55633788</v>
      </c>
      <c r="ED60" s="3">
        <f t="shared" si="36"/>
        <v>-171.2468523</v>
      </c>
      <c r="EE60" s="3">
        <f t="shared" si="38"/>
        <v>-127.18179133333332</v>
      </c>
      <c r="EH60" s="3">
        <f t="shared" si="42"/>
        <v>-16.481949350000001</v>
      </c>
      <c r="ES60" s="3">
        <v>5.2120556000000002</v>
      </c>
      <c r="ET60" s="3">
        <v>10.003954640000002</v>
      </c>
      <c r="FC60" s="32">
        <v>227.04679999999999</v>
      </c>
      <c r="FD60" s="16"/>
    </row>
    <row r="61" spans="3:160" ht="16" x14ac:dyDescent="0.2">
      <c r="C61" s="7" t="s">
        <v>57</v>
      </c>
      <c r="D61" s="3">
        <v>57</v>
      </c>
      <c r="E61" s="3">
        <v>138.90547000000001</v>
      </c>
      <c r="F61" s="3">
        <v>2.4900000000000002</v>
      </c>
      <c r="G61" s="3">
        <v>1.1000000000000001</v>
      </c>
      <c r="H61" s="3">
        <v>6.15</v>
      </c>
      <c r="I61" s="3">
        <v>1191</v>
      </c>
      <c r="J61" s="3">
        <v>3737</v>
      </c>
      <c r="K61" s="28">
        <v>56.265999999999998</v>
      </c>
      <c r="L61" s="28">
        <v>52.957000000000001</v>
      </c>
      <c r="M61" s="28">
        <v>51.453333333333326</v>
      </c>
      <c r="N61" s="28">
        <v>46.058999999999997</v>
      </c>
      <c r="O61" s="28">
        <v>43.540666666666674</v>
      </c>
      <c r="P61" s="28">
        <v>40.199599999999997</v>
      </c>
      <c r="Q61" s="28">
        <v>36.137</v>
      </c>
      <c r="R61" s="28">
        <v>32.956333333333333</v>
      </c>
      <c r="S61" s="28">
        <v>27.2502</v>
      </c>
      <c r="T61" s="28"/>
      <c r="U61" s="28">
        <v>23.7</v>
      </c>
      <c r="V61" s="28">
        <v>20.102666666666668</v>
      </c>
      <c r="W61" s="28">
        <v>12.047000000000001</v>
      </c>
      <c r="X61" s="28"/>
      <c r="Y61">
        <v>11.407</v>
      </c>
      <c r="Z61"/>
      <c r="AA61" s="28"/>
      <c r="AB61" s="28"/>
      <c r="AC61" s="28"/>
      <c r="AD61" s="23"/>
      <c r="AE61" s="23"/>
      <c r="AF61" s="23"/>
      <c r="AG61" s="23"/>
      <c r="AH61" s="23"/>
      <c r="AI61" s="23"/>
      <c r="AP61" s="24">
        <v>0.84640000000000004</v>
      </c>
      <c r="AQ61" s="24">
        <v>4.8138999999999994</v>
      </c>
      <c r="AR61" s="24">
        <v>3.8793333333333333</v>
      </c>
      <c r="AS61" s="24">
        <v>13.754</v>
      </c>
      <c r="AT61" s="24">
        <v>13.507133333333334</v>
      </c>
      <c r="AU61" s="24">
        <v>11.15132</v>
      </c>
      <c r="AV61" s="24">
        <v>32.216099999999997</v>
      </c>
      <c r="AW61" s="24">
        <v>33.662033333333333</v>
      </c>
      <c r="AX61" s="24">
        <v>35.644019999999998</v>
      </c>
      <c r="AY61" s="24"/>
      <c r="AZ61" s="24">
        <v>75.065100000000001</v>
      </c>
      <c r="BA61" s="24">
        <v>84.146266666666676</v>
      </c>
      <c r="BB61" s="24">
        <v>117.438</v>
      </c>
      <c r="BC61" s="24"/>
      <c r="BD61" s="24">
        <v>210.8065</v>
      </c>
      <c r="BE61" s="24"/>
      <c r="BF61" s="24"/>
      <c r="BG61" s="24"/>
      <c r="BH61" s="24"/>
      <c r="BO61" s="3">
        <v>284</v>
      </c>
      <c r="BP61" s="3">
        <v>298</v>
      </c>
      <c r="BQ61" s="3">
        <v>187</v>
      </c>
      <c r="BR61" s="3">
        <v>207</v>
      </c>
      <c r="BS61" s="3">
        <v>622</v>
      </c>
      <c r="BV61" s="3">
        <v>47600.944539999997</v>
      </c>
      <c r="BW61" s="3">
        <v>10439.8349</v>
      </c>
      <c r="BX61" s="3">
        <v>9690.8386599999994</v>
      </c>
      <c r="BY61" s="3">
        <v>3156.3637899999999</v>
      </c>
      <c r="BZ61" s="3">
        <v>2905.8200529999999</v>
      </c>
      <c r="CA61" s="3">
        <v>2642.6198725999998</v>
      </c>
      <c r="CB61" s="3">
        <v>929.44525190000002</v>
      </c>
      <c r="CC61" s="3">
        <v>815.76049836666664</v>
      </c>
      <c r="CD61" s="3">
        <v>636.11885513999994</v>
      </c>
      <c r="CF61" s="3">
        <v>194.20333360000001</v>
      </c>
      <c r="CG61" s="3">
        <v>146.99020390000001</v>
      </c>
      <c r="CH61" s="3">
        <v>60.203921459999997</v>
      </c>
      <c r="CJ61" s="3">
        <v>20.003447739999999</v>
      </c>
      <c r="CU61" s="3">
        <f t="shared" si="0"/>
        <v>-95201.889079999994</v>
      </c>
      <c r="CV61" s="3">
        <f t="shared" si="4"/>
        <v>-20879.6698</v>
      </c>
      <c r="CW61" s="3">
        <f t="shared" si="8"/>
        <v>-19381.677319999999</v>
      </c>
      <c r="CX61" s="3">
        <f t="shared" si="12"/>
        <v>-6312.7275799999998</v>
      </c>
      <c r="CY61" s="3">
        <f t="shared" si="16"/>
        <v>-5811.6401059999998</v>
      </c>
      <c r="CZ61" s="3">
        <f t="shared" si="24"/>
        <v>-5285.2397451999996</v>
      </c>
      <c r="DA61" s="3">
        <f t="shared" si="20"/>
        <v>-1858.8905038</v>
      </c>
      <c r="DB61" s="3">
        <f t="shared" si="26"/>
        <v>-1631.5209967333333</v>
      </c>
      <c r="DC61" s="3">
        <f t="shared" si="32"/>
        <v>-1272.2377102799999</v>
      </c>
      <c r="DE61" s="3">
        <f t="shared" si="29"/>
        <v>-388.40666720000002</v>
      </c>
      <c r="DF61" s="3">
        <f t="shared" si="37"/>
        <v>-293.98040780000002</v>
      </c>
      <c r="DG61" s="3">
        <f t="shared" ref="DG61:DG68" si="43">-2*CH61</f>
        <v>-120.40784291999999</v>
      </c>
      <c r="DI61" s="3">
        <f t="shared" si="41"/>
        <v>-40.006895479999997</v>
      </c>
      <c r="DT61" s="3">
        <f t="shared" si="2"/>
        <v>-47600.944539999997</v>
      </c>
      <c r="DU61" s="3">
        <f t="shared" si="28"/>
        <v>-10439.8349</v>
      </c>
      <c r="DV61" s="3">
        <f t="shared" si="30"/>
        <v>-9690.8386599999994</v>
      </c>
      <c r="DW61" s="3">
        <f t="shared" si="34"/>
        <v>-3156.3637899999999</v>
      </c>
      <c r="DX61" s="3">
        <f t="shared" si="35"/>
        <v>-2905.8200529999999</v>
      </c>
      <c r="DY61" s="3">
        <f t="shared" si="40"/>
        <v>-2642.6198725999998</v>
      </c>
      <c r="DZ61" s="3">
        <f t="shared" si="39"/>
        <v>-929.44525190000002</v>
      </c>
      <c r="EA61" s="3">
        <f t="shared" si="27"/>
        <v>-815.76049836666664</v>
      </c>
      <c r="EB61" s="3">
        <f t="shared" si="33"/>
        <v>-636.11885513999994</v>
      </c>
      <c r="ED61" s="3">
        <f t="shared" si="36"/>
        <v>-194.20333360000001</v>
      </c>
      <c r="EE61" s="3">
        <f t="shared" si="38"/>
        <v>-146.99020390000001</v>
      </c>
      <c r="EF61" s="3">
        <f>-1*CH61</f>
        <v>-60.203921459999997</v>
      </c>
      <c r="EH61" s="3">
        <f t="shared" si="42"/>
        <v>-20.003447739999999</v>
      </c>
      <c r="ES61" s="3">
        <v>5.5768684000000004</v>
      </c>
      <c r="ET61" s="3">
        <v>11.058388000000001</v>
      </c>
      <c r="EV61" s="3">
        <v>19.176509200000002</v>
      </c>
      <c r="EW61" s="3">
        <v>49.954480000000004</v>
      </c>
      <c r="FC61" s="32">
        <v>210.8065</v>
      </c>
      <c r="FD61" s="16"/>
    </row>
    <row r="62" spans="3:160" ht="16" x14ac:dyDescent="0.2">
      <c r="C62" s="7" t="s">
        <v>58</v>
      </c>
      <c r="D62" s="3">
        <v>58</v>
      </c>
      <c r="E62" s="3">
        <v>140.11600000000001</v>
      </c>
      <c r="F62" s="3">
        <v>2.62</v>
      </c>
      <c r="G62" s="3">
        <v>1.1200000000000001</v>
      </c>
      <c r="H62" s="3">
        <v>6.77</v>
      </c>
      <c r="I62" s="3">
        <v>1071</v>
      </c>
      <c r="J62" s="3">
        <v>3697</v>
      </c>
      <c r="K62" s="28">
        <v>57.264000000000003</v>
      </c>
      <c r="L62" s="28">
        <v>53.96</v>
      </c>
      <c r="M62" s="28">
        <v>52.442</v>
      </c>
      <c r="N62" s="28">
        <v>47.064999999999998</v>
      </c>
      <c r="O62" s="28">
        <v>44.523333333333333</v>
      </c>
      <c r="P62" s="28">
        <v>41.184800000000003</v>
      </c>
      <c r="Q62" s="28">
        <v>37.058999999999997</v>
      </c>
      <c r="R62" s="28">
        <v>33.830999999999996</v>
      </c>
      <c r="S62" s="28">
        <v>28.083999999999996</v>
      </c>
      <c r="T62" s="28"/>
      <c r="U62" s="28">
        <v>24.274999999999999</v>
      </c>
      <c r="V62" s="28">
        <v>20.571999999999999</v>
      </c>
      <c r="W62" s="28">
        <v>12.659800000000001</v>
      </c>
      <c r="X62" s="28"/>
      <c r="Y62">
        <v>11.539</v>
      </c>
      <c r="Z62"/>
      <c r="AA62" s="28"/>
      <c r="AB62" s="28"/>
      <c r="AC62" s="28"/>
      <c r="AD62" s="23"/>
      <c r="AE62" s="23"/>
      <c r="AF62" s="23"/>
      <c r="AG62" s="23"/>
      <c r="AH62" s="23"/>
      <c r="AI62" s="23"/>
      <c r="AP62" s="24">
        <v>0.84640000000000004</v>
      </c>
      <c r="AQ62" s="24">
        <v>4.7081</v>
      </c>
      <c r="AR62" s="24">
        <v>3.773533333333333</v>
      </c>
      <c r="AS62" s="24">
        <v>13.4895</v>
      </c>
      <c r="AT62" s="24">
        <v>13.189733333333335</v>
      </c>
      <c r="AU62" s="24">
        <v>10.886819999999998</v>
      </c>
      <c r="AV62" s="24">
        <v>31.422599999999999</v>
      </c>
      <c r="AW62" s="24">
        <v>32.762733333333337</v>
      </c>
      <c r="AX62" s="24">
        <v>34.60718</v>
      </c>
      <c r="AY62" s="24">
        <v>38.004871428571427</v>
      </c>
      <c r="AZ62" s="24">
        <v>73.160699999999991</v>
      </c>
      <c r="BA62" s="24">
        <v>82.065533333333335</v>
      </c>
      <c r="BB62" s="24">
        <v>112.80396</v>
      </c>
      <c r="BC62" s="24"/>
      <c r="BD62" s="24">
        <v>207.73830000000001</v>
      </c>
      <c r="BE62" s="24"/>
      <c r="BF62" s="24"/>
      <c r="BG62" s="24"/>
      <c r="BH62" s="24"/>
      <c r="BO62" s="3">
        <v>282</v>
      </c>
      <c r="BP62" s="3">
        <v>288</v>
      </c>
      <c r="BQ62" s="3">
        <v>181.8</v>
      </c>
      <c r="BR62" s="3">
        <v>204</v>
      </c>
      <c r="BS62" s="3">
        <v>505</v>
      </c>
      <c r="BV62" s="3">
        <v>49480.67972</v>
      </c>
      <c r="BW62" s="3">
        <v>10888.631439999999</v>
      </c>
      <c r="BX62" s="3">
        <v>10082.155776666666</v>
      </c>
      <c r="BY62" s="3">
        <v>3311.0093499999998</v>
      </c>
      <c r="BZ62" s="3">
        <v>3044.9293636666666</v>
      </c>
      <c r="CA62" s="3">
        <v>2770.5505581999996</v>
      </c>
      <c r="CB62" s="3">
        <v>983.22485129999995</v>
      </c>
      <c r="CC62" s="3">
        <v>863.16788099999997</v>
      </c>
      <c r="CD62" s="3">
        <v>676.64033368000003</v>
      </c>
      <c r="CE62" s="3">
        <v>352.59025072857145</v>
      </c>
      <c r="CF62" s="3">
        <v>204.40801070000001</v>
      </c>
      <c r="CG62" s="3">
        <v>154.15194353333334</v>
      </c>
      <c r="CH62" s="3">
        <v>67.322636079999995</v>
      </c>
      <c r="CJ62" s="3">
        <v>20.271461639999998</v>
      </c>
      <c r="CU62" s="3">
        <f t="shared" si="0"/>
        <v>-98961.35944</v>
      </c>
      <c r="CV62" s="3">
        <f t="shared" si="4"/>
        <v>-21777.262879999998</v>
      </c>
      <c r="CW62" s="3">
        <f t="shared" si="8"/>
        <v>-20164.311553333333</v>
      </c>
      <c r="CX62" s="3">
        <f t="shared" si="12"/>
        <v>-6622.0186999999996</v>
      </c>
      <c r="CY62" s="3">
        <f t="shared" si="16"/>
        <v>-6089.8587273333333</v>
      </c>
      <c r="CZ62" s="3">
        <f t="shared" si="24"/>
        <v>-5541.1011163999992</v>
      </c>
      <c r="DA62" s="3">
        <f t="shared" si="20"/>
        <v>-1966.4497025999999</v>
      </c>
      <c r="DB62" s="3">
        <f t="shared" si="26"/>
        <v>-1726.3357619999999</v>
      </c>
      <c r="DC62" s="3">
        <f t="shared" si="32"/>
        <v>-1353.2806673600001</v>
      </c>
      <c r="DD62" s="3">
        <f t="shared" ref="DD62:DD69" si="44">-2*CE62</f>
        <v>-705.1805014571429</v>
      </c>
      <c r="DE62" s="3">
        <f t="shared" si="29"/>
        <v>-408.81602140000001</v>
      </c>
      <c r="DF62" s="3">
        <f t="shared" si="37"/>
        <v>-308.30388706666668</v>
      </c>
      <c r="DG62" s="3">
        <f t="shared" si="43"/>
        <v>-134.64527215999999</v>
      </c>
      <c r="DI62" s="3">
        <f t="shared" si="41"/>
        <v>-40.542923279999997</v>
      </c>
      <c r="DT62" s="3">
        <f t="shared" si="2"/>
        <v>-49480.67972</v>
      </c>
      <c r="DU62" s="3">
        <f t="shared" si="28"/>
        <v>-10888.631439999999</v>
      </c>
      <c r="DV62" s="3">
        <f t="shared" si="30"/>
        <v>-10082.155776666666</v>
      </c>
      <c r="DW62" s="3">
        <f t="shared" si="34"/>
        <v>-3311.0093499999998</v>
      </c>
      <c r="DX62" s="3">
        <f t="shared" si="35"/>
        <v>-3044.9293636666666</v>
      </c>
      <c r="DY62" s="3">
        <f t="shared" si="40"/>
        <v>-2770.5505581999996</v>
      </c>
      <c r="DZ62" s="3">
        <f t="shared" si="39"/>
        <v>-983.22485129999995</v>
      </c>
      <c r="EA62" s="3">
        <f t="shared" si="27"/>
        <v>-863.16788099999997</v>
      </c>
      <c r="EB62" s="3">
        <f t="shared" si="33"/>
        <v>-676.64033368000003</v>
      </c>
      <c r="EC62" s="3">
        <f t="shared" ref="EC62:EC99" si="45">-1*CE62</f>
        <v>-352.59025072857145</v>
      </c>
      <c r="ED62" s="3">
        <f t="shared" si="36"/>
        <v>-204.40801070000001</v>
      </c>
      <c r="EE62" s="3">
        <f t="shared" si="38"/>
        <v>-154.15194353333334</v>
      </c>
      <c r="EF62" s="3">
        <f>-1*CH62</f>
        <v>-67.322636079999995</v>
      </c>
      <c r="EH62" s="3">
        <f t="shared" si="42"/>
        <v>-20.271461639999998</v>
      </c>
      <c r="ES62" s="3">
        <v>5.4721920000000006</v>
      </c>
      <c r="ET62" s="3">
        <v>10.851108</v>
      </c>
      <c r="EV62" s="3">
        <v>20.199436000000002</v>
      </c>
      <c r="EW62" s="3">
        <v>36.719652000000004</v>
      </c>
      <c r="FC62" s="32">
        <v>207.73830000000001</v>
      </c>
      <c r="FD62" s="16"/>
    </row>
    <row r="63" spans="3:160" ht="16" x14ac:dyDescent="0.2">
      <c r="C63" s="7" t="s">
        <v>59</v>
      </c>
      <c r="D63" s="3">
        <v>59</v>
      </c>
      <c r="E63" s="3">
        <v>140.90765999999999</v>
      </c>
      <c r="F63" s="3">
        <v>2.2400000000000002</v>
      </c>
      <c r="G63" s="3">
        <v>1.1299999999999999</v>
      </c>
      <c r="H63" s="3">
        <v>6.77</v>
      </c>
      <c r="I63" s="3">
        <v>1204</v>
      </c>
      <c r="J63" s="3">
        <v>3793</v>
      </c>
      <c r="K63" s="28">
        <v>58.262</v>
      </c>
      <c r="L63" s="28">
        <v>54.966000000000001</v>
      </c>
      <c r="M63" s="28">
        <v>53.434666666666665</v>
      </c>
      <c r="N63" s="28">
        <v>48.075000000000003</v>
      </c>
      <c r="O63" s="28">
        <v>45.510333333333335</v>
      </c>
      <c r="P63" s="28">
        <v>42.169600000000003</v>
      </c>
      <c r="Q63" s="28">
        <v>37.871000000000002</v>
      </c>
      <c r="R63" s="28">
        <v>34.559666666666665</v>
      </c>
      <c r="S63" s="28">
        <v>28.661799999999999</v>
      </c>
      <c r="T63" s="28">
        <v>16.920571428571428</v>
      </c>
      <c r="U63" s="28">
        <v>24.283000000000001</v>
      </c>
      <c r="V63" s="28">
        <v>20.369</v>
      </c>
      <c r="W63" s="28"/>
      <c r="X63" s="28"/>
      <c r="Y63">
        <v>11.134</v>
      </c>
      <c r="Z63"/>
      <c r="AA63" s="28"/>
      <c r="AB63" s="28"/>
      <c r="AC63" s="28"/>
      <c r="AD63" s="23"/>
      <c r="AE63" s="23"/>
      <c r="AF63" s="23"/>
      <c r="AG63" s="23"/>
      <c r="AH63" s="23"/>
      <c r="AI63" s="23"/>
      <c r="AP63" s="24">
        <v>0.79349999999999998</v>
      </c>
      <c r="AQ63" s="24">
        <v>4.6022999999999996</v>
      </c>
      <c r="AR63" s="24">
        <v>3.7206333333333332</v>
      </c>
      <c r="AS63" s="24">
        <v>13.1721</v>
      </c>
      <c r="AT63" s="24">
        <v>12.925233333333333</v>
      </c>
      <c r="AU63" s="24">
        <v>10.622319999999998</v>
      </c>
      <c r="AV63" s="24">
        <v>30.681999999999999</v>
      </c>
      <c r="AW63" s="24">
        <v>32.022133333333329</v>
      </c>
      <c r="AX63" s="24">
        <v>33.792519999999996</v>
      </c>
      <c r="AY63" s="24">
        <v>37.022442857142849</v>
      </c>
      <c r="AZ63" s="24">
        <v>72.472999999999999</v>
      </c>
      <c r="BA63" s="24">
        <v>81.942099999999996</v>
      </c>
      <c r="BB63" s="24"/>
      <c r="BC63" s="24"/>
      <c r="BD63" s="24">
        <v>214.93269999999998</v>
      </c>
      <c r="BE63" s="24"/>
      <c r="BF63" s="24"/>
      <c r="BG63" s="24"/>
      <c r="BH63" s="24"/>
      <c r="BO63" s="3">
        <v>286</v>
      </c>
      <c r="BP63" s="3">
        <v>292</v>
      </c>
      <c r="BQ63" s="3">
        <v>182.4</v>
      </c>
      <c r="BR63" s="3">
        <v>203</v>
      </c>
      <c r="BS63" s="3">
        <v>247.00000000000003</v>
      </c>
      <c r="BV63" s="3">
        <v>51408.589939999998</v>
      </c>
      <c r="BW63" s="3">
        <v>11351.70089</v>
      </c>
      <c r="BX63" s="3">
        <v>10483.820113333333</v>
      </c>
      <c r="BY63" s="3">
        <v>3470.8990880000001</v>
      </c>
      <c r="BZ63" s="3">
        <v>3188.2865529999999</v>
      </c>
      <c r="CA63" s="3">
        <v>2902.1485657999997</v>
      </c>
      <c r="CB63" s="3">
        <v>1031.040178</v>
      </c>
      <c r="CC63" s="3">
        <v>903.18925969999998</v>
      </c>
      <c r="CD63" s="3">
        <v>706.80558944000006</v>
      </c>
      <c r="CE63" s="3">
        <v>364.46951644285713</v>
      </c>
      <c r="CF63" s="3">
        <v>201.66999860000001</v>
      </c>
      <c r="CG63" s="3">
        <v>148.39896536666666</v>
      </c>
      <c r="CJ63" s="3">
        <v>17.845186349999999</v>
      </c>
      <c r="CU63" s="3">
        <f t="shared" si="0"/>
        <v>-102817.17988</v>
      </c>
      <c r="CV63" s="3">
        <f t="shared" si="4"/>
        <v>-22703.40178</v>
      </c>
      <c r="CW63" s="3">
        <f t="shared" si="8"/>
        <v>-20967.640226666666</v>
      </c>
      <c r="CX63" s="3">
        <f t="shared" si="12"/>
        <v>-6941.7981760000002</v>
      </c>
      <c r="CY63" s="3">
        <f t="shared" si="16"/>
        <v>-6376.5731059999998</v>
      </c>
      <c r="CZ63" s="3">
        <f t="shared" si="24"/>
        <v>-5804.2971315999994</v>
      </c>
      <c r="DA63" s="3">
        <f t="shared" si="20"/>
        <v>-2062.0803559999999</v>
      </c>
      <c r="DB63" s="3">
        <f t="shared" si="26"/>
        <v>-1806.3785194</v>
      </c>
      <c r="DC63" s="3">
        <f t="shared" si="32"/>
        <v>-1413.6111788800001</v>
      </c>
      <c r="DD63" s="3">
        <f t="shared" si="44"/>
        <v>-728.93903288571425</v>
      </c>
      <c r="DE63" s="3">
        <f t="shared" si="29"/>
        <v>-403.33999720000003</v>
      </c>
      <c r="DF63" s="3">
        <f t="shared" si="37"/>
        <v>-296.79793073333332</v>
      </c>
      <c r="DI63" s="3">
        <f t="shared" si="41"/>
        <v>-35.690372699999998</v>
      </c>
      <c r="DT63" s="3">
        <f t="shared" si="2"/>
        <v>-51408.589939999998</v>
      </c>
      <c r="DU63" s="3">
        <f t="shared" si="28"/>
        <v>-11351.70089</v>
      </c>
      <c r="DV63" s="3">
        <f t="shared" si="30"/>
        <v>-10483.820113333333</v>
      </c>
      <c r="DW63" s="3">
        <f t="shared" si="34"/>
        <v>-3470.8990880000001</v>
      </c>
      <c r="DX63" s="3">
        <f t="shared" si="35"/>
        <v>-3188.2865529999999</v>
      </c>
      <c r="DY63" s="3">
        <f t="shared" si="40"/>
        <v>-2902.1485657999997</v>
      </c>
      <c r="DZ63" s="3">
        <f t="shared" si="39"/>
        <v>-1031.040178</v>
      </c>
      <c r="EA63" s="3">
        <f t="shared" si="27"/>
        <v>-903.18925969999998</v>
      </c>
      <c r="EB63" s="3">
        <f t="shared" si="33"/>
        <v>-706.80558944000006</v>
      </c>
      <c r="EC63" s="3">
        <f t="shared" si="45"/>
        <v>-364.46951644285713</v>
      </c>
      <c r="ED63" s="3">
        <f t="shared" si="36"/>
        <v>-201.66999860000001</v>
      </c>
      <c r="EE63" s="3">
        <f t="shared" si="38"/>
        <v>-148.39896536666666</v>
      </c>
      <c r="EH63" s="3">
        <f t="shared" si="42"/>
        <v>-17.845186349999999</v>
      </c>
      <c r="ES63" s="3">
        <v>5.4203720000000004</v>
      </c>
      <c r="ET63" s="3">
        <v>10.550552000000001</v>
      </c>
      <c r="EV63" s="3">
        <v>21.619304</v>
      </c>
      <c r="EW63" s="3">
        <v>38.979004000000003</v>
      </c>
      <c r="EX63" s="3">
        <v>57.540928000000001</v>
      </c>
      <c r="FC63" s="32">
        <v>214.93269999999998</v>
      </c>
      <c r="FD63" s="16"/>
    </row>
    <row r="64" spans="3:160" ht="16" x14ac:dyDescent="0.2">
      <c r="C64" s="7" t="s">
        <v>60</v>
      </c>
      <c r="D64" s="3">
        <v>60</v>
      </c>
      <c r="E64" s="3">
        <v>144.24199999999999</v>
      </c>
      <c r="F64" s="3">
        <v>2.11</v>
      </c>
      <c r="G64" s="3">
        <v>1.1399999999999999</v>
      </c>
      <c r="H64" s="3">
        <v>7.01</v>
      </c>
      <c r="I64" s="3">
        <v>1294</v>
      </c>
      <c r="J64" s="3">
        <v>3347</v>
      </c>
      <c r="K64" s="28">
        <v>59.259</v>
      </c>
      <c r="L64" s="28">
        <v>55.970999999999997</v>
      </c>
      <c r="M64" s="28">
        <v>54.423999999999999</v>
      </c>
      <c r="N64" s="28">
        <v>49.081000000000003</v>
      </c>
      <c r="O64" s="28">
        <v>46.491999999999997</v>
      </c>
      <c r="P64" s="28">
        <v>43.1496</v>
      </c>
      <c r="Q64" s="28">
        <v>38.774999999999999</v>
      </c>
      <c r="R64" s="28">
        <v>35.410333333333334</v>
      </c>
      <c r="S64" s="28">
        <v>29.458799999999997</v>
      </c>
      <c r="T64" s="28">
        <v>17.759</v>
      </c>
      <c r="U64" s="28">
        <v>24.82</v>
      </c>
      <c r="V64" s="28">
        <v>20.790333333333333</v>
      </c>
      <c r="W64" s="28"/>
      <c r="X64" s="28"/>
      <c r="Y64" s="28">
        <v>11.285</v>
      </c>
      <c r="Z64" s="28"/>
      <c r="AA64" s="28"/>
      <c r="AB64" s="28"/>
      <c r="AC64" s="28"/>
      <c r="AD64" s="23"/>
      <c r="AE64" s="23"/>
      <c r="AF64" s="23"/>
      <c r="AG64" s="23"/>
      <c r="AH64" s="23"/>
      <c r="AI64" s="23"/>
      <c r="AP64" s="24">
        <v>0.79349999999999998</v>
      </c>
      <c r="AQ64" s="24">
        <v>4.5493999999999994</v>
      </c>
      <c r="AR64" s="24">
        <v>3.6500999999999997</v>
      </c>
      <c r="AS64" s="24">
        <v>12.907599999999999</v>
      </c>
      <c r="AT64" s="24">
        <v>12.607833333333332</v>
      </c>
      <c r="AU64" s="24">
        <v>10.410720000000001</v>
      </c>
      <c r="AV64" s="24">
        <v>29.941399999999998</v>
      </c>
      <c r="AW64" s="24">
        <v>31.263899999999996</v>
      </c>
      <c r="AX64" s="24">
        <v>32.893219999999999</v>
      </c>
      <c r="AY64" s="24">
        <v>35.465671428571433</v>
      </c>
      <c r="AZ64" s="24">
        <v>70.885999999999996</v>
      </c>
      <c r="BA64" s="24">
        <v>80.178766666666675</v>
      </c>
      <c r="BB64" s="24"/>
      <c r="BC64" s="24"/>
      <c r="BD64" s="24">
        <v>211.7587</v>
      </c>
      <c r="BE64" s="24"/>
      <c r="BF64" s="24"/>
      <c r="BG64" s="24"/>
      <c r="BH64" s="24"/>
      <c r="BO64" s="3">
        <v>284</v>
      </c>
      <c r="BP64" s="3">
        <v>295</v>
      </c>
      <c r="BQ64" s="3">
        <v>181.4</v>
      </c>
      <c r="BR64" s="3">
        <v>201</v>
      </c>
      <c r="BS64" s="3">
        <v>206</v>
      </c>
      <c r="BV64" s="3">
        <v>53385.170440000002</v>
      </c>
      <c r="BW64" s="3">
        <v>11826.9069</v>
      </c>
      <c r="BX64" s="3">
        <v>10893.832900000001</v>
      </c>
      <c r="BY64" s="3">
        <v>3634.7483539999998</v>
      </c>
      <c r="BZ64" s="3">
        <v>3334.5554513333332</v>
      </c>
      <c r="CA64" s="3">
        <v>3035.8977420000001</v>
      </c>
      <c r="CB64" s="3">
        <v>1086.612572</v>
      </c>
      <c r="CC64" s="3">
        <v>951.59413913333321</v>
      </c>
      <c r="CD64" s="3">
        <v>747.64501668000003</v>
      </c>
      <c r="CE64" s="3">
        <v>397.73830597142853</v>
      </c>
      <c r="CF64" s="3">
        <v>211.15352229999999</v>
      </c>
      <c r="CG64" s="3">
        <v>154.65556816666665</v>
      </c>
      <c r="CJ64" s="3">
        <v>18.24312291</v>
      </c>
      <c r="CU64" s="3">
        <f t="shared" si="0"/>
        <v>-106770.34088</v>
      </c>
      <c r="CV64" s="3">
        <f t="shared" si="4"/>
        <v>-23653.8138</v>
      </c>
      <c r="CW64" s="3">
        <f t="shared" si="8"/>
        <v>-21787.665800000002</v>
      </c>
      <c r="CX64" s="3">
        <f t="shared" si="12"/>
        <v>-7269.4967079999997</v>
      </c>
      <c r="CY64" s="3">
        <f t="shared" si="16"/>
        <v>-6669.1109026666663</v>
      </c>
      <c r="CZ64" s="3">
        <f t="shared" si="24"/>
        <v>-6071.7954840000002</v>
      </c>
      <c r="DA64" s="3">
        <f t="shared" si="20"/>
        <v>-2173.225144</v>
      </c>
      <c r="DB64" s="3">
        <f t="shared" si="26"/>
        <v>-1903.1882782666664</v>
      </c>
      <c r="DC64" s="3">
        <f t="shared" si="32"/>
        <v>-1495.2900333600001</v>
      </c>
      <c r="DD64" s="3">
        <f t="shared" si="44"/>
        <v>-795.47661194285706</v>
      </c>
      <c r="DE64" s="3">
        <f t="shared" si="29"/>
        <v>-422.30704459999998</v>
      </c>
      <c r="DF64" s="3">
        <f t="shared" si="37"/>
        <v>-309.31113633333331</v>
      </c>
      <c r="DI64" s="3">
        <f t="shared" si="41"/>
        <v>-36.486245820000001</v>
      </c>
      <c r="DT64" s="3">
        <f t="shared" si="2"/>
        <v>-53385.170440000002</v>
      </c>
      <c r="DU64" s="3">
        <f t="shared" si="28"/>
        <v>-11826.9069</v>
      </c>
      <c r="DV64" s="3">
        <f t="shared" si="30"/>
        <v>-10893.832900000001</v>
      </c>
      <c r="DW64" s="3">
        <f t="shared" si="34"/>
        <v>-3634.7483539999998</v>
      </c>
      <c r="DX64" s="3">
        <f t="shared" si="35"/>
        <v>-3334.5554513333332</v>
      </c>
      <c r="DY64" s="3">
        <f t="shared" si="40"/>
        <v>-3035.8977420000001</v>
      </c>
      <c r="DZ64" s="3">
        <f t="shared" si="39"/>
        <v>-1086.612572</v>
      </c>
      <c r="EA64" s="3">
        <f t="shared" si="27"/>
        <v>-951.59413913333321</v>
      </c>
      <c r="EB64" s="3">
        <f t="shared" si="33"/>
        <v>-747.64501668000003</v>
      </c>
      <c r="EC64" s="3">
        <f t="shared" si="45"/>
        <v>-397.73830597142853</v>
      </c>
      <c r="ED64" s="3">
        <f t="shared" si="36"/>
        <v>-211.15352229999999</v>
      </c>
      <c r="EE64" s="3">
        <f t="shared" si="38"/>
        <v>-154.65556816666665</v>
      </c>
      <c r="EH64" s="3">
        <f t="shared" si="42"/>
        <v>-18.24312291</v>
      </c>
      <c r="ES64" s="3">
        <v>5.4929200000000007</v>
      </c>
      <c r="ET64" s="3">
        <v>10.716376</v>
      </c>
      <c r="EV64" s="3">
        <v>22.075320000000001</v>
      </c>
      <c r="EW64" s="3">
        <v>40.419600000000003</v>
      </c>
      <c r="EX64" s="3">
        <v>60.007560000000005</v>
      </c>
      <c r="FC64" s="32">
        <v>211.7587</v>
      </c>
      <c r="FD64" s="16"/>
    </row>
    <row r="65" spans="3:160" ht="16" x14ac:dyDescent="0.2">
      <c r="C65" s="7" t="s">
        <v>61</v>
      </c>
      <c r="D65" s="3">
        <v>61</v>
      </c>
      <c r="F65" s="3">
        <v>2.2400000000000002</v>
      </c>
      <c r="H65" s="3">
        <v>7.26</v>
      </c>
      <c r="I65" s="3">
        <v>1315</v>
      </c>
      <c r="J65" s="3">
        <v>3273</v>
      </c>
      <c r="K65" s="28">
        <v>60.256999999999998</v>
      </c>
      <c r="L65" s="28">
        <v>56.975999999999999</v>
      </c>
      <c r="M65" s="28">
        <v>55.414333333333332</v>
      </c>
      <c r="N65" s="28">
        <v>50.088999999999999</v>
      </c>
      <c r="O65" s="28">
        <v>47.473999999999997</v>
      </c>
      <c r="P65" s="28">
        <v>44.127200000000002</v>
      </c>
      <c r="Q65" s="28">
        <v>39.676000000000002</v>
      </c>
      <c r="R65" s="28">
        <v>36.255666666666663</v>
      </c>
      <c r="S65" s="28">
        <v>30.247000000000003</v>
      </c>
      <c r="T65" s="28">
        <v>18.506</v>
      </c>
      <c r="U65" s="28">
        <v>25.352</v>
      </c>
      <c r="V65" s="28">
        <v>21.204333333333334</v>
      </c>
      <c r="W65" s="28"/>
      <c r="X65" s="28"/>
      <c r="Y65" s="28">
        <v>11.433999999999999</v>
      </c>
      <c r="Z65" s="28"/>
      <c r="AA65" s="28"/>
      <c r="AB65" s="28"/>
      <c r="AC65" s="28"/>
      <c r="AD65" s="23"/>
      <c r="AE65" s="23"/>
      <c r="AF65" s="23"/>
      <c r="AG65" s="23"/>
      <c r="AH65" s="23"/>
      <c r="AI65" s="23"/>
      <c r="AP65" s="24">
        <v>0.79349999999999998</v>
      </c>
      <c r="AQ65" s="24">
        <v>4.4436</v>
      </c>
      <c r="AR65" s="24">
        <v>3.5619333333333336</v>
      </c>
      <c r="AS65" s="24">
        <v>12.643099999999999</v>
      </c>
      <c r="AT65" s="24">
        <v>12.378599999999999</v>
      </c>
      <c r="AU65" s="24">
        <v>10.14622</v>
      </c>
      <c r="AV65" s="24">
        <v>29.253700000000002</v>
      </c>
      <c r="AW65" s="24">
        <v>30.523299999999995</v>
      </c>
      <c r="AX65" s="24">
        <v>32.046819999999997</v>
      </c>
      <c r="AY65" s="24">
        <v>34.090271428571427</v>
      </c>
      <c r="AZ65" s="24">
        <v>69.299000000000007</v>
      </c>
      <c r="BA65" s="24">
        <v>78.415433333333326</v>
      </c>
      <c r="BB65" s="24"/>
      <c r="BC65" s="24"/>
      <c r="BD65" s="24">
        <v>208.5318</v>
      </c>
      <c r="BE65" s="24"/>
      <c r="BF65" s="24"/>
      <c r="BG65" s="24"/>
      <c r="BH65" s="24"/>
      <c r="BO65" s="3">
        <v>283</v>
      </c>
      <c r="BQ65" s="3">
        <v>183.4</v>
      </c>
      <c r="BR65" s="3">
        <v>199</v>
      </c>
      <c r="BS65" s="3">
        <v>204.99999999999997</v>
      </c>
      <c r="BV65" s="3">
        <v>55411.365460000001</v>
      </c>
      <c r="BW65" s="3">
        <v>12315.700629999999</v>
      </c>
      <c r="BX65" s="3">
        <v>11313.3372</v>
      </c>
      <c r="BY65" s="3">
        <v>3803.3253260000001</v>
      </c>
      <c r="BZ65" s="3">
        <v>3484.4615133333332</v>
      </c>
      <c r="CA65" s="3">
        <v>3172.5664821999999</v>
      </c>
      <c r="CB65" s="3">
        <v>1143.5077389999999</v>
      </c>
      <c r="CC65" s="3">
        <v>1000.9425551999999</v>
      </c>
      <c r="CD65" s="3">
        <v>789.16055970000002</v>
      </c>
      <c r="CE65" s="3">
        <v>429.97834189999998</v>
      </c>
      <c r="CF65" s="3">
        <v>220.7366016</v>
      </c>
      <c r="CG65" s="3">
        <v>160.89943969999999</v>
      </c>
      <c r="CJ65" s="3">
        <v>18.645824449999999</v>
      </c>
      <c r="CU65" s="3">
        <f t="shared" si="0"/>
        <v>-110822.73092</v>
      </c>
      <c r="CV65" s="3">
        <f t="shared" si="4"/>
        <v>-24631.401259999999</v>
      </c>
      <c r="CW65" s="3">
        <f t="shared" si="8"/>
        <v>-22626.6744</v>
      </c>
      <c r="CX65" s="3">
        <f t="shared" si="12"/>
        <v>-7606.6506520000003</v>
      </c>
      <c r="CY65" s="3">
        <f t="shared" si="16"/>
        <v>-6968.9230266666664</v>
      </c>
      <c r="CZ65" s="3">
        <f t="shared" si="24"/>
        <v>-6345.1329643999998</v>
      </c>
      <c r="DA65" s="3">
        <f t="shared" si="20"/>
        <v>-2287.0154779999998</v>
      </c>
      <c r="DB65" s="3">
        <f t="shared" si="26"/>
        <v>-2001.8851103999998</v>
      </c>
      <c r="DC65" s="3">
        <f t="shared" si="32"/>
        <v>-1578.3211194</v>
      </c>
      <c r="DD65" s="3">
        <f t="shared" si="44"/>
        <v>-859.95668379999995</v>
      </c>
      <c r="DE65" s="3">
        <f t="shared" si="29"/>
        <v>-441.4732032</v>
      </c>
      <c r="DF65" s="3">
        <f t="shared" si="37"/>
        <v>-321.79887939999998</v>
      </c>
      <c r="DI65" s="3">
        <f t="shared" si="41"/>
        <v>-37.291648899999998</v>
      </c>
      <c r="DT65" s="3">
        <f t="shared" si="2"/>
        <v>-55411.365460000001</v>
      </c>
      <c r="DU65" s="3">
        <f t="shared" si="28"/>
        <v>-12315.700629999999</v>
      </c>
      <c r="DV65" s="3">
        <f t="shared" si="30"/>
        <v>-11313.3372</v>
      </c>
      <c r="DW65" s="3">
        <f t="shared" si="34"/>
        <v>-3803.3253260000001</v>
      </c>
      <c r="DX65" s="3">
        <f t="shared" si="35"/>
        <v>-3484.4615133333332</v>
      </c>
      <c r="DY65" s="3">
        <f t="shared" si="40"/>
        <v>-3172.5664821999999</v>
      </c>
      <c r="DZ65" s="3">
        <f t="shared" si="39"/>
        <v>-1143.5077389999999</v>
      </c>
      <c r="EA65" s="3">
        <f t="shared" si="27"/>
        <v>-1000.9425551999999</v>
      </c>
      <c r="EB65" s="3">
        <f t="shared" si="33"/>
        <v>-789.16055970000002</v>
      </c>
      <c r="EC65" s="3">
        <f t="shared" si="45"/>
        <v>-429.97834189999998</v>
      </c>
      <c r="ED65" s="3">
        <f t="shared" si="36"/>
        <v>-220.7366016</v>
      </c>
      <c r="EE65" s="3">
        <f t="shared" si="38"/>
        <v>-160.89943969999999</v>
      </c>
      <c r="EH65" s="3">
        <f t="shared" si="42"/>
        <v>-18.645824449999999</v>
      </c>
      <c r="ES65" s="3">
        <v>5.5551040000000009</v>
      </c>
      <c r="ET65" s="3">
        <v>10.902928000000001</v>
      </c>
      <c r="EV65" s="3">
        <v>22.282600000000002</v>
      </c>
      <c r="EW65" s="3">
        <v>41.145080000000007</v>
      </c>
      <c r="EX65" s="3">
        <v>61.696892000000005</v>
      </c>
      <c r="FC65" s="32">
        <v>208.5318</v>
      </c>
      <c r="FD65" s="16"/>
    </row>
    <row r="66" spans="3:160" ht="16" x14ac:dyDescent="0.2">
      <c r="C66" s="7" t="s">
        <v>62</v>
      </c>
      <c r="D66" s="3">
        <v>62</v>
      </c>
      <c r="E66" s="3">
        <v>150.36000000000001</v>
      </c>
      <c r="F66" s="3">
        <v>1.9</v>
      </c>
      <c r="G66" s="3">
        <v>1.17</v>
      </c>
      <c r="H66" s="3">
        <v>7.52</v>
      </c>
      <c r="I66" s="3">
        <v>1347</v>
      </c>
      <c r="J66" s="3">
        <v>2067</v>
      </c>
      <c r="K66" s="28">
        <v>61.255000000000003</v>
      </c>
      <c r="L66" s="28">
        <v>57.981999999999999</v>
      </c>
      <c r="M66" s="28">
        <v>56.405000000000001</v>
      </c>
      <c r="N66" s="28">
        <v>51.097000000000001</v>
      </c>
      <c r="O66" s="28">
        <v>48.455000000000005</v>
      </c>
      <c r="P66" s="28">
        <v>45.102999999999994</v>
      </c>
      <c r="Q66" s="28">
        <v>40.572000000000003</v>
      </c>
      <c r="R66" s="28">
        <v>37.092666666666666</v>
      </c>
      <c r="S66" s="28">
        <v>31.022600000000001</v>
      </c>
      <c r="T66" s="28">
        <v>19.281285714285712</v>
      </c>
      <c r="U66" s="28">
        <v>25.869</v>
      </c>
      <c r="V66" s="28">
        <v>21.600666666666665</v>
      </c>
      <c r="W66" s="28"/>
      <c r="X66" s="28"/>
      <c r="Y66" s="28">
        <v>11.577</v>
      </c>
      <c r="Z66" s="28"/>
      <c r="AA66" s="28"/>
      <c r="AB66" s="28"/>
      <c r="AC66" s="28"/>
      <c r="AD66" s="23"/>
      <c r="AE66" s="23"/>
      <c r="AF66" s="23"/>
      <c r="AG66" s="23"/>
      <c r="AH66" s="23"/>
      <c r="AI66" s="23"/>
      <c r="AP66" s="24">
        <v>0.79349999999999998</v>
      </c>
      <c r="AQ66" s="24">
        <v>4.3377999999999997</v>
      </c>
      <c r="AR66" s="24">
        <v>3.5090333333333334</v>
      </c>
      <c r="AS66" s="24">
        <v>12.3786</v>
      </c>
      <c r="AT66" s="24">
        <v>12.114100000000001</v>
      </c>
      <c r="AU66" s="24">
        <v>9.9346199999999989</v>
      </c>
      <c r="AV66" s="24">
        <v>28.6189</v>
      </c>
      <c r="AW66" s="24">
        <v>29.817966666666663</v>
      </c>
      <c r="AX66" s="24">
        <v>31.253319999999995</v>
      </c>
      <c r="AY66" s="24">
        <v>32.843342857142858</v>
      </c>
      <c r="AZ66" s="24">
        <v>67.764899999999997</v>
      </c>
      <c r="BA66" s="24">
        <v>76.8108</v>
      </c>
      <c r="BB66" s="24"/>
      <c r="BC66" s="24"/>
      <c r="BD66" s="24">
        <v>205.5694</v>
      </c>
      <c r="BE66" s="24"/>
      <c r="BF66" s="24"/>
      <c r="BG66" s="24"/>
      <c r="BH66" s="24"/>
      <c r="BO66" s="3">
        <v>280</v>
      </c>
      <c r="BP66" s="3">
        <v>290</v>
      </c>
      <c r="BQ66" s="3">
        <v>180.4</v>
      </c>
      <c r="BR66" s="3">
        <v>198</v>
      </c>
      <c r="BS66" s="3">
        <v>238</v>
      </c>
      <c r="BV66" s="3">
        <v>57488.040309999997</v>
      </c>
      <c r="BW66" s="3">
        <v>12818.413259999999</v>
      </c>
      <c r="BX66" s="3">
        <v>11742.483216666666</v>
      </c>
      <c r="BY66" s="3">
        <v>3976.7211619999998</v>
      </c>
      <c r="BZ66" s="3">
        <v>3638.0452850000001</v>
      </c>
      <c r="CA66" s="3">
        <v>3312.1626228</v>
      </c>
      <c r="CB66" s="3">
        <v>1201.602928</v>
      </c>
      <c r="CC66" s="3">
        <v>1051.0795663333333</v>
      </c>
      <c r="CD66" s="3">
        <v>831.14512904000003</v>
      </c>
      <c r="CE66" s="3">
        <v>463.57994608571425</v>
      </c>
      <c r="CF66" s="3">
        <v>230.20308560000001</v>
      </c>
      <c r="CG66" s="3">
        <v>166.91711573333336</v>
      </c>
      <c r="CJ66" s="3">
        <v>19.03744524</v>
      </c>
      <c r="CU66" s="3">
        <f t="shared" si="0"/>
        <v>-114976.08061999999</v>
      </c>
      <c r="CV66" s="3">
        <f t="shared" si="4"/>
        <v>-25636.826519999999</v>
      </c>
      <c r="CW66" s="3">
        <f t="shared" si="8"/>
        <v>-23484.966433333331</v>
      </c>
      <c r="CX66" s="3">
        <f t="shared" si="12"/>
        <v>-7953.4423239999996</v>
      </c>
      <c r="CY66" s="3">
        <f t="shared" si="16"/>
        <v>-7276.0905700000003</v>
      </c>
      <c r="CZ66" s="3">
        <f t="shared" si="24"/>
        <v>-6624.3252456</v>
      </c>
      <c r="DA66" s="3">
        <f t="shared" si="20"/>
        <v>-2403.205856</v>
      </c>
      <c r="DB66" s="3">
        <f t="shared" si="26"/>
        <v>-2102.1591326666667</v>
      </c>
      <c r="DC66" s="3">
        <f t="shared" si="32"/>
        <v>-1662.2902580800001</v>
      </c>
      <c r="DD66" s="3">
        <f t="shared" si="44"/>
        <v>-927.15989217142851</v>
      </c>
      <c r="DE66" s="3">
        <f t="shared" si="29"/>
        <v>-460.40617120000002</v>
      </c>
      <c r="DF66" s="3">
        <f t="shared" si="37"/>
        <v>-333.83423146666672</v>
      </c>
      <c r="DI66" s="3">
        <f t="shared" si="41"/>
        <v>-38.074890480000001</v>
      </c>
      <c r="DT66" s="3">
        <f t="shared" si="2"/>
        <v>-57488.040309999997</v>
      </c>
      <c r="DU66" s="3">
        <f t="shared" si="28"/>
        <v>-12818.413259999999</v>
      </c>
      <c r="DV66" s="3">
        <f t="shared" si="30"/>
        <v>-11742.483216666666</v>
      </c>
      <c r="DW66" s="3">
        <f t="shared" si="34"/>
        <v>-3976.7211619999998</v>
      </c>
      <c r="DX66" s="3">
        <f t="shared" si="35"/>
        <v>-3638.0452850000001</v>
      </c>
      <c r="DY66" s="3">
        <f t="shared" si="40"/>
        <v>-3312.1626228</v>
      </c>
      <c r="DZ66" s="3">
        <f t="shared" si="39"/>
        <v>-1201.602928</v>
      </c>
      <c r="EA66" s="3">
        <f t="shared" si="27"/>
        <v>-1051.0795663333333</v>
      </c>
      <c r="EB66" s="3">
        <f t="shared" si="33"/>
        <v>-831.14512904000003</v>
      </c>
      <c r="EC66" s="3">
        <f t="shared" si="45"/>
        <v>-463.57994608571425</v>
      </c>
      <c r="ED66" s="3">
        <f t="shared" si="36"/>
        <v>-230.20308560000001</v>
      </c>
      <c r="EE66" s="3">
        <f t="shared" si="38"/>
        <v>-166.91711573333336</v>
      </c>
      <c r="EH66" s="3">
        <f t="shared" si="42"/>
        <v>-19.03744524</v>
      </c>
      <c r="ES66" s="3">
        <v>5.6276520000000012</v>
      </c>
      <c r="ET66" s="3">
        <v>11.068752000000002</v>
      </c>
      <c r="EV66" s="3">
        <v>23.422640000000001</v>
      </c>
      <c r="EW66" s="3">
        <v>41.456000000000003</v>
      </c>
      <c r="EX66" s="3">
        <v>62.660744000000008</v>
      </c>
      <c r="FC66" s="32">
        <v>205.5694</v>
      </c>
      <c r="FD66" s="16"/>
    </row>
    <row r="67" spans="3:160" ht="16" x14ac:dyDescent="0.2">
      <c r="C67" s="7" t="s">
        <v>63</v>
      </c>
      <c r="D67" s="3">
        <v>63</v>
      </c>
      <c r="E67" s="3">
        <v>151.964</v>
      </c>
      <c r="F67" s="3">
        <v>1.81</v>
      </c>
      <c r="H67" s="3">
        <v>5.24</v>
      </c>
      <c r="I67" s="3">
        <v>1095</v>
      </c>
      <c r="J67" s="3">
        <v>1802</v>
      </c>
      <c r="K67" s="28">
        <v>62.252000000000002</v>
      </c>
      <c r="L67" s="28">
        <v>58.988999999999997</v>
      </c>
      <c r="M67" s="28">
        <v>57.395999999999994</v>
      </c>
      <c r="N67" s="28">
        <v>52.106000000000002</v>
      </c>
      <c r="O67" s="28">
        <v>49.436</v>
      </c>
      <c r="P67" s="28">
        <v>46.0764</v>
      </c>
      <c r="Q67" s="28">
        <v>41.463999999999999</v>
      </c>
      <c r="R67" s="28">
        <v>37.923999999999999</v>
      </c>
      <c r="S67" s="28">
        <v>31.788</v>
      </c>
      <c r="T67" s="28">
        <v>20.068285714285715</v>
      </c>
      <c r="U67" s="28">
        <v>26.375</v>
      </c>
      <c r="V67" s="28">
        <v>21.980666666666668</v>
      </c>
      <c r="W67" s="28"/>
      <c r="X67" s="28"/>
      <c r="Y67" s="28">
        <v>11.714</v>
      </c>
      <c r="Z67" s="28"/>
      <c r="AA67" s="28"/>
      <c r="AB67" s="28"/>
      <c r="AC67" s="28"/>
      <c r="AD67" s="23"/>
      <c r="AE67" s="23"/>
      <c r="AF67" s="23"/>
      <c r="AG67" s="23"/>
      <c r="AH67" s="23"/>
      <c r="AI67" s="23"/>
      <c r="AP67" s="24">
        <v>0.74060000000000004</v>
      </c>
      <c r="AQ67" s="24">
        <v>4.2849000000000004</v>
      </c>
      <c r="AR67" s="24">
        <v>3.4384999999999999</v>
      </c>
      <c r="AS67" s="24">
        <v>12.114100000000001</v>
      </c>
      <c r="AT67" s="24">
        <v>11.867233333333333</v>
      </c>
      <c r="AU67" s="24">
        <v>9.72302</v>
      </c>
      <c r="AV67" s="24">
        <v>27.984100000000002</v>
      </c>
      <c r="AW67" s="24">
        <v>29.183166666666668</v>
      </c>
      <c r="AX67" s="24">
        <v>30.49156</v>
      </c>
      <c r="AY67" s="24">
        <v>31.702214285714287</v>
      </c>
      <c r="AZ67" s="24">
        <v>66.336600000000004</v>
      </c>
      <c r="BA67" s="24">
        <v>75.311966666666663</v>
      </c>
      <c r="BB67" s="24"/>
      <c r="BC67" s="24"/>
      <c r="BD67" s="24">
        <v>202.92439999999999</v>
      </c>
      <c r="BE67" s="24"/>
      <c r="BF67" s="24"/>
      <c r="BG67" s="24"/>
      <c r="BH67" s="24"/>
      <c r="BO67" s="3">
        <v>280</v>
      </c>
      <c r="BP67" s="3">
        <v>287</v>
      </c>
      <c r="BQ67" s="3">
        <v>180.4</v>
      </c>
      <c r="BR67" s="3">
        <v>198</v>
      </c>
      <c r="BS67" s="3">
        <v>231</v>
      </c>
      <c r="BV67" s="3">
        <v>59617.782809999997</v>
      </c>
      <c r="BW67" s="3">
        <v>13335.597449999999</v>
      </c>
      <c r="BX67" s="3">
        <v>12181.396036666667</v>
      </c>
      <c r="BY67" s="3">
        <v>4155.1045729999996</v>
      </c>
      <c r="BZ67" s="3">
        <v>3795.3637286666667</v>
      </c>
      <c r="CA67" s="3">
        <v>3454.7037974</v>
      </c>
      <c r="CB67" s="3">
        <v>1260.995011</v>
      </c>
      <c r="CC67" s="3">
        <v>1102.095188</v>
      </c>
      <c r="CD67" s="3">
        <v>873.67322940000008</v>
      </c>
      <c r="CE67" s="3">
        <v>498.27443327142856</v>
      </c>
      <c r="CF67" s="3">
        <v>239.55879469999999</v>
      </c>
      <c r="CG67" s="3">
        <v>172.68504743333335</v>
      </c>
      <c r="CJ67" s="3">
        <v>19.417354799999998</v>
      </c>
      <c r="CU67" s="3">
        <f t="shared" si="0"/>
        <v>-119235.56561999999</v>
      </c>
      <c r="CV67" s="3">
        <f t="shared" si="4"/>
        <v>-26671.194899999999</v>
      </c>
      <c r="CW67" s="3">
        <f t="shared" si="8"/>
        <v>-24362.792073333334</v>
      </c>
      <c r="CX67" s="3">
        <f t="shared" si="12"/>
        <v>-8310.2091459999992</v>
      </c>
      <c r="CY67" s="3">
        <f t="shared" si="16"/>
        <v>-7590.7274573333334</v>
      </c>
      <c r="CZ67" s="3">
        <f t="shared" si="24"/>
        <v>-6909.4075948</v>
      </c>
      <c r="DA67" s="3">
        <f t="shared" si="20"/>
        <v>-2521.990022</v>
      </c>
      <c r="DB67" s="3">
        <f t="shared" si="26"/>
        <v>-2204.190376</v>
      </c>
      <c r="DC67" s="3">
        <f t="shared" si="32"/>
        <v>-1747.3464588000002</v>
      </c>
      <c r="DD67" s="3">
        <f t="shared" si="44"/>
        <v>-996.54886654285713</v>
      </c>
      <c r="DE67" s="3">
        <f t="shared" si="29"/>
        <v>-479.11758939999999</v>
      </c>
      <c r="DF67" s="3">
        <f t="shared" si="37"/>
        <v>-345.3700948666667</v>
      </c>
      <c r="DI67" s="3">
        <f t="shared" si="41"/>
        <v>-38.834709599999996</v>
      </c>
      <c r="DT67" s="3">
        <f t="shared" si="2"/>
        <v>-59617.782809999997</v>
      </c>
      <c r="DU67" s="3">
        <f t="shared" si="28"/>
        <v>-13335.597449999999</v>
      </c>
      <c r="DV67" s="3">
        <f t="shared" si="30"/>
        <v>-12181.396036666667</v>
      </c>
      <c r="DW67" s="3">
        <f t="shared" si="34"/>
        <v>-4155.1045729999996</v>
      </c>
      <c r="DX67" s="3">
        <f t="shared" si="35"/>
        <v>-3795.3637286666667</v>
      </c>
      <c r="DY67" s="3">
        <f t="shared" si="40"/>
        <v>-3454.7037974</v>
      </c>
      <c r="DZ67" s="3">
        <f t="shared" si="39"/>
        <v>-1260.995011</v>
      </c>
      <c r="EA67" s="3">
        <f t="shared" ref="EA67:EA99" si="46">-1*CC67</f>
        <v>-1102.095188</v>
      </c>
      <c r="EB67" s="3">
        <f t="shared" si="33"/>
        <v>-873.67322940000008</v>
      </c>
      <c r="EC67" s="3">
        <f t="shared" si="45"/>
        <v>-498.27443327142856</v>
      </c>
      <c r="ED67" s="3">
        <f t="shared" si="36"/>
        <v>-239.55879469999999</v>
      </c>
      <c r="EE67" s="3">
        <f t="shared" si="38"/>
        <v>-172.68504743333335</v>
      </c>
      <c r="EH67" s="3">
        <f t="shared" si="42"/>
        <v>-19.417354799999998</v>
      </c>
      <c r="ES67" s="3">
        <v>5.6691080000000005</v>
      </c>
      <c r="ET67" s="3">
        <v>11.24494</v>
      </c>
      <c r="EV67" s="3">
        <v>24.8736</v>
      </c>
      <c r="EW67" s="3">
        <v>42.596040000000009</v>
      </c>
      <c r="EX67" s="3">
        <v>63.230764000000008</v>
      </c>
      <c r="FC67" s="32">
        <v>202.92439999999999</v>
      </c>
      <c r="FD67" s="16"/>
    </row>
    <row r="68" spans="3:160" ht="16" x14ac:dyDescent="0.2">
      <c r="C68" s="7" t="s">
        <v>64</v>
      </c>
      <c r="D68" s="3">
        <v>64</v>
      </c>
      <c r="E68" s="3">
        <v>157.249</v>
      </c>
      <c r="F68" s="3">
        <v>2.4</v>
      </c>
      <c r="G68" s="3">
        <v>1.2</v>
      </c>
      <c r="H68" s="3">
        <v>7.9</v>
      </c>
      <c r="I68" s="3">
        <v>1586</v>
      </c>
      <c r="J68" s="3">
        <v>3546</v>
      </c>
      <c r="K68" s="28">
        <v>63.25</v>
      </c>
      <c r="L68" s="28">
        <v>59.994</v>
      </c>
      <c r="M68" s="28">
        <v>58.384999999999998</v>
      </c>
      <c r="N68" s="28">
        <v>53.112000000000002</v>
      </c>
      <c r="O68" s="28">
        <v>50.413333333333334</v>
      </c>
      <c r="P68" s="28">
        <v>47.045400000000001</v>
      </c>
      <c r="Q68" s="28">
        <v>42.430999999999997</v>
      </c>
      <c r="R68" s="28">
        <v>38.854333333333336</v>
      </c>
      <c r="S68" s="28">
        <v>32.732199999999999</v>
      </c>
      <c r="T68" s="28">
        <v>21.893999999999998</v>
      </c>
      <c r="U68" s="28">
        <v>27.411000000000001</v>
      </c>
      <c r="V68" s="28">
        <v>23.016333333333336</v>
      </c>
      <c r="W68" s="28">
        <v>13.431999999999999</v>
      </c>
      <c r="X68" s="28"/>
      <c r="Y68" s="28">
        <v>12.493</v>
      </c>
      <c r="Z68" s="28"/>
      <c r="AA68" s="28"/>
      <c r="AB68" s="28"/>
      <c r="AC68" s="28"/>
      <c r="AD68" s="23"/>
      <c r="AE68" s="23"/>
      <c r="AF68" s="23"/>
      <c r="AG68" s="23"/>
      <c r="AH68" s="23"/>
      <c r="AI68" s="23"/>
      <c r="AP68" s="24">
        <v>0.74060000000000004</v>
      </c>
      <c r="AQ68" s="24">
        <v>4.1791</v>
      </c>
      <c r="AR68" s="24">
        <v>3.3856000000000002</v>
      </c>
      <c r="AS68" s="24">
        <v>11.849600000000001</v>
      </c>
      <c r="AT68" s="24">
        <v>11.638</v>
      </c>
      <c r="AU68" s="24">
        <v>9.5431600000000003</v>
      </c>
      <c r="AV68" s="24">
        <v>27.349299999999999</v>
      </c>
      <c r="AW68" s="24">
        <v>28.513099999999998</v>
      </c>
      <c r="AX68" s="24">
        <v>29.698059999999998</v>
      </c>
      <c r="AY68" s="24">
        <v>30.273914285714287</v>
      </c>
      <c r="AZ68" s="24">
        <v>64.167699999999996</v>
      </c>
      <c r="BA68" s="24">
        <v>72.437733333333341</v>
      </c>
      <c r="BB68" s="24">
        <v>101.68438</v>
      </c>
      <c r="BC68" s="24"/>
      <c r="BD68" s="24">
        <v>190.01679999999999</v>
      </c>
      <c r="BE68" s="24"/>
      <c r="BF68" s="24"/>
      <c r="BG68" s="24"/>
      <c r="BH68" s="24"/>
      <c r="BO68" s="3">
        <v>277</v>
      </c>
      <c r="BP68" s="3">
        <v>283</v>
      </c>
      <c r="BQ68" s="3">
        <v>180.4</v>
      </c>
      <c r="BR68" s="3">
        <v>196</v>
      </c>
      <c r="BS68" s="3">
        <v>233</v>
      </c>
      <c r="BV68" s="3">
        <v>61800.535799999998</v>
      </c>
      <c r="BW68" s="3">
        <v>13866.39631</v>
      </c>
      <c r="BX68" s="3">
        <v>12629.282079999999</v>
      </c>
      <c r="BY68" s="3">
        <v>4337.8311919999996</v>
      </c>
      <c r="BZ68" s="3">
        <v>3955.7599609999997</v>
      </c>
      <c r="CA68" s="3">
        <v>3599.4167126000002</v>
      </c>
      <c r="CB68" s="3">
        <v>1327.757842</v>
      </c>
      <c r="CC68" s="3">
        <v>1160.9346800000001</v>
      </c>
      <c r="CD68" s="3">
        <v>926.09440393999989</v>
      </c>
      <c r="CE68" s="3">
        <v>562.68786832857143</v>
      </c>
      <c r="CF68" s="3">
        <v>262.64799950000003</v>
      </c>
      <c r="CG68" s="3">
        <v>192.30535950000001</v>
      </c>
      <c r="CH68" s="3">
        <v>76.642106749999996</v>
      </c>
      <c r="CJ68" s="3">
        <v>23.259112940000001</v>
      </c>
      <c r="CU68" s="3">
        <f t="shared" si="0"/>
        <v>-123601.0716</v>
      </c>
      <c r="CV68" s="3">
        <f t="shared" si="4"/>
        <v>-27732.79262</v>
      </c>
      <c r="CW68" s="3">
        <f t="shared" si="8"/>
        <v>-25258.564159999998</v>
      </c>
      <c r="CX68" s="3">
        <f t="shared" si="12"/>
        <v>-8675.6623839999993</v>
      </c>
      <c r="CY68" s="3">
        <f t="shared" si="16"/>
        <v>-7911.5199219999995</v>
      </c>
      <c r="CZ68" s="3">
        <f t="shared" si="24"/>
        <v>-7198.8334252000004</v>
      </c>
      <c r="DA68" s="3">
        <f t="shared" si="20"/>
        <v>-2655.515684</v>
      </c>
      <c r="DB68" s="3">
        <f t="shared" si="26"/>
        <v>-2321.8693600000001</v>
      </c>
      <c r="DC68" s="3">
        <f t="shared" si="32"/>
        <v>-1852.1888078799998</v>
      </c>
      <c r="DD68" s="3">
        <f t="shared" si="44"/>
        <v>-1125.3757366571429</v>
      </c>
      <c r="DE68" s="3">
        <f t="shared" si="29"/>
        <v>-525.29599900000005</v>
      </c>
      <c r="DF68" s="3">
        <f t="shared" si="37"/>
        <v>-384.61071900000002</v>
      </c>
      <c r="DG68" s="3">
        <f t="shared" si="43"/>
        <v>-153.28421349999999</v>
      </c>
      <c r="DI68" s="3">
        <f t="shared" si="41"/>
        <v>-46.518225880000003</v>
      </c>
      <c r="DT68" s="3">
        <f t="shared" si="2"/>
        <v>-61800.535799999998</v>
      </c>
      <c r="DU68" s="3">
        <f t="shared" si="28"/>
        <v>-13866.39631</v>
      </c>
      <c r="DV68" s="3">
        <f t="shared" si="30"/>
        <v>-12629.282079999999</v>
      </c>
      <c r="DW68" s="3">
        <f t="shared" si="34"/>
        <v>-4337.8311919999996</v>
      </c>
      <c r="DX68" s="3">
        <f t="shared" si="35"/>
        <v>-3955.7599609999997</v>
      </c>
      <c r="DY68" s="3">
        <f t="shared" si="40"/>
        <v>-3599.4167126000002</v>
      </c>
      <c r="DZ68" s="3">
        <f t="shared" si="39"/>
        <v>-1327.757842</v>
      </c>
      <c r="EA68" s="3">
        <f t="shared" si="46"/>
        <v>-1160.9346800000001</v>
      </c>
      <c r="EB68" s="3">
        <f t="shared" si="33"/>
        <v>-926.09440393999989</v>
      </c>
      <c r="EC68" s="3">
        <f t="shared" si="45"/>
        <v>-562.68786832857143</v>
      </c>
      <c r="ED68" s="3">
        <f t="shared" si="36"/>
        <v>-262.64799950000003</v>
      </c>
      <c r="EE68" s="3">
        <f t="shared" si="38"/>
        <v>-192.30535950000001</v>
      </c>
      <c r="EF68" s="3">
        <f>-1*CH68</f>
        <v>-76.642106749999996</v>
      </c>
      <c r="EH68" s="3">
        <f t="shared" si="42"/>
        <v>-23.259112940000001</v>
      </c>
      <c r="ES68" s="3">
        <v>6.1354880000000005</v>
      </c>
      <c r="ET68" s="3">
        <v>12.12588</v>
      </c>
      <c r="EV68" s="3">
        <v>20.624360000000003</v>
      </c>
      <c r="EW68" s="3">
        <v>43.943360000000006</v>
      </c>
      <c r="EX68" s="3">
        <v>64.764635999999996</v>
      </c>
      <c r="FC68" s="32">
        <v>190.01679999999999</v>
      </c>
      <c r="FD68" s="16"/>
    </row>
    <row r="69" spans="3:160" ht="16" x14ac:dyDescent="0.2">
      <c r="C69" s="7" t="s">
        <v>65</v>
      </c>
      <c r="D69" s="3">
        <v>65</v>
      </c>
      <c r="E69" s="3">
        <v>158.925354</v>
      </c>
      <c r="F69" s="3">
        <v>2.29</v>
      </c>
      <c r="G69" s="3">
        <v>1.1000000000000001</v>
      </c>
      <c r="H69" s="3">
        <v>8.23</v>
      </c>
      <c r="I69" s="3">
        <v>1629</v>
      </c>
      <c r="J69" s="3">
        <v>3503</v>
      </c>
      <c r="K69" s="28">
        <v>64.248000000000005</v>
      </c>
      <c r="L69" s="28">
        <v>61.003999999999998</v>
      </c>
      <c r="M69" s="28">
        <v>59.378999999999998</v>
      </c>
      <c r="N69" s="28">
        <v>54.125999999999998</v>
      </c>
      <c r="O69" s="28">
        <v>51.398000000000003</v>
      </c>
      <c r="P69" s="28">
        <v>48.019600000000004</v>
      </c>
      <c r="Q69" s="28">
        <v>43.262999999999998</v>
      </c>
      <c r="R69" s="28">
        <v>39.598333333333329</v>
      </c>
      <c r="S69" s="28">
        <v>33.3352</v>
      </c>
      <c r="T69" s="28">
        <v>21.101857142857142</v>
      </c>
      <c r="U69" s="28">
        <v>27.456</v>
      </c>
      <c r="V69" s="28">
        <v>22.813000000000002</v>
      </c>
      <c r="W69" s="28"/>
      <c r="X69" s="28"/>
      <c r="Y69" s="28">
        <v>12.019</v>
      </c>
      <c r="Z69" s="28"/>
      <c r="AA69" s="28"/>
      <c r="AB69" s="28"/>
      <c r="AC69" s="28"/>
      <c r="AD69" s="23"/>
      <c r="AE69" s="23"/>
      <c r="AF69" s="23"/>
      <c r="AG69" s="23"/>
      <c r="AH69" s="23"/>
      <c r="AI69" s="23"/>
      <c r="AP69" s="24">
        <v>0.74060000000000004</v>
      </c>
      <c r="AQ69" s="24">
        <v>4.1261999999999999</v>
      </c>
      <c r="AR69" s="24">
        <v>3.3327</v>
      </c>
      <c r="AS69" s="24">
        <v>11.638</v>
      </c>
      <c r="AT69" s="24">
        <v>11.426400000000001</v>
      </c>
      <c r="AU69" s="24">
        <v>9.3527199999999997</v>
      </c>
      <c r="AV69" s="24">
        <v>26.767399999999999</v>
      </c>
      <c r="AW69" s="24">
        <v>27.948833333333329</v>
      </c>
      <c r="AX69" s="24">
        <v>29.084420000000005</v>
      </c>
      <c r="AY69" s="24">
        <v>29.744914285714284</v>
      </c>
      <c r="AZ69" s="24">
        <v>63.532900000000005</v>
      </c>
      <c r="BA69" s="24">
        <v>72.314299999999989</v>
      </c>
      <c r="BB69" s="24"/>
      <c r="BC69" s="24"/>
      <c r="BD69" s="24">
        <v>197.05250000000001</v>
      </c>
      <c r="BE69" s="24"/>
      <c r="BF69" s="24"/>
      <c r="BG69" s="24"/>
      <c r="BH69" s="24"/>
      <c r="BO69" s="3">
        <v>276</v>
      </c>
      <c r="BP69" s="3">
        <v>279</v>
      </c>
      <c r="BQ69" s="3">
        <v>177.3</v>
      </c>
      <c r="BR69" s="3">
        <v>194</v>
      </c>
      <c r="BS69" s="3">
        <v>225</v>
      </c>
      <c r="BV69" s="3">
        <v>64039.678950000001</v>
      </c>
      <c r="BW69" s="3">
        <v>14414.469230000001</v>
      </c>
      <c r="BX69" s="3">
        <v>13088.941760000002</v>
      </c>
      <c r="BY69" s="3">
        <v>4527.0844619999998</v>
      </c>
      <c r="BZ69" s="3">
        <v>4121.2958793333337</v>
      </c>
      <c r="CA69" s="3">
        <v>3748.5115854000005</v>
      </c>
      <c r="CB69" s="3">
        <v>1385.7409749999999</v>
      </c>
      <c r="CC69" s="3">
        <v>1208.7615533333335</v>
      </c>
      <c r="CD69" s="3">
        <v>962.80345874</v>
      </c>
      <c r="CE69" s="3">
        <v>558.52378022857135</v>
      </c>
      <c r="CF69" s="3">
        <v>260.80613990000001</v>
      </c>
      <c r="CG69" s="3">
        <v>186.30962500000001</v>
      </c>
      <c r="CJ69" s="3">
        <v>20.310507250000001</v>
      </c>
      <c r="CU69" s="3">
        <f t="shared" si="0"/>
        <v>-128079.3579</v>
      </c>
      <c r="CV69" s="3">
        <f t="shared" si="4"/>
        <v>-28828.938460000001</v>
      </c>
      <c r="CW69" s="3">
        <f t="shared" si="8"/>
        <v>-26177.883520000003</v>
      </c>
      <c r="CX69" s="3">
        <f t="shared" si="12"/>
        <v>-9054.1689239999996</v>
      </c>
      <c r="CY69" s="3">
        <f t="shared" si="16"/>
        <v>-8242.5917586666674</v>
      </c>
      <c r="CZ69" s="3">
        <f t="shared" si="24"/>
        <v>-7497.023170800001</v>
      </c>
      <c r="DA69" s="3">
        <f t="shared" si="20"/>
        <v>-2771.4819499999999</v>
      </c>
      <c r="DB69" s="3">
        <f t="shared" si="26"/>
        <v>-2417.523106666667</v>
      </c>
      <c r="DC69" s="3">
        <f t="shared" si="32"/>
        <v>-1925.60691748</v>
      </c>
      <c r="DD69" s="3">
        <f t="shared" si="44"/>
        <v>-1117.0475604571427</v>
      </c>
      <c r="DE69" s="3">
        <f t="shared" si="29"/>
        <v>-521.61227980000001</v>
      </c>
      <c r="DF69" s="3">
        <f t="shared" si="37"/>
        <v>-372.61925000000002</v>
      </c>
      <c r="DI69" s="3">
        <f t="shared" si="41"/>
        <v>-40.621014500000001</v>
      </c>
      <c r="DT69" s="3">
        <f t="shared" si="2"/>
        <v>-64039.678950000001</v>
      </c>
      <c r="DU69" s="3">
        <f t="shared" si="28"/>
        <v>-14414.469230000001</v>
      </c>
      <c r="DV69" s="3">
        <f t="shared" si="30"/>
        <v>-13088.941760000002</v>
      </c>
      <c r="DW69" s="3">
        <f t="shared" si="34"/>
        <v>-4527.0844619999998</v>
      </c>
      <c r="DX69" s="3">
        <f t="shared" si="35"/>
        <v>-4121.2958793333337</v>
      </c>
      <c r="DY69" s="3">
        <f t="shared" si="40"/>
        <v>-3748.5115854000005</v>
      </c>
      <c r="DZ69" s="3">
        <f t="shared" si="39"/>
        <v>-1385.7409749999999</v>
      </c>
      <c r="EA69" s="3">
        <f t="shared" si="46"/>
        <v>-1208.7615533333335</v>
      </c>
      <c r="EB69" s="3">
        <f t="shared" si="33"/>
        <v>-962.80345874</v>
      </c>
      <c r="EC69" s="3">
        <f t="shared" si="45"/>
        <v>-558.52378022857135</v>
      </c>
      <c r="ED69" s="3">
        <f t="shared" si="36"/>
        <v>-260.80613990000001</v>
      </c>
      <c r="EE69" s="3">
        <f t="shared" si="38"/>
        <v>-186.30962500000001</v>
      </c>
      <c r="EH69" s="3">
        <f t="shared" si="42"/>
        <v>-20.310507250000001</v>
      </c>
      <c r="ES69" s="3">
        <v>5.8452960000000003</v>
      </c>
      <c r="ET69" s="3">
        <v>11.524768000000002</v>
      </c>
      <c r="EV69" s="3">
        <v>21.868040000000001</v>
      </c>
      <c r="EW69" s="3">
        <v>39.797760000000004</v>
      </c>
      <c r="EX69" s="3">
        <v>66.464332000000013</v>
      </c>
      <c r="FC69" s="32">
        <v>197.05250000000001</v>
      </c>
      <c r="FD69" s="16"/>
    </row>
    <row r="70" spans="3:160" ht="16" x14ac:dyDescent="0.2">
      <c r="C70" s="7" t="s">
        <v>66</v>
      </c>
      <c r="D70" s="3">
        <v>66</v>
      </c>
      <c r="E70" s="3">
        <v>162.5</v>
      </c>
      <c r="F70" s="3">
        <v>2.0699999999999998</v>
      </c>
      <c r="G70" s="3">
        <v>1.22</v>
      </c>
      <c r="H70" s="3">
        <v>8.5500000000000007</v>
      </c>
      <c r="I70" s="3">
        <v>1685</v>
      </c>
      <c r="J70" s="3">
        <v>2840</v>
      </c>
      <c r="K70" s="28">
        <v>65.245999999999995</v>
      </c>
      <c r="L70" s="28">
        <v>62.012999999999998</v>
      </c>
      <c r="M70" s="28">
        <v>60.371333333333332</v>
      </c>
      <c r="N70" s="28">
        <v>55.137</v>
      </c>
      <c r="O70" s="28">
        <v>52.378999999999998</v>
      </c>
      <c r="P70" s="28">
        <v>48.988999999999997</v>
      </c>
      <c r="Q70" s="28">
        <v>44.158000000000001</v>
      </c>
      <c r="R70" s="28">
        <v>40.428333333333335</v>
      </c>
      <c r="S70" s="28">
        <v>34.095399999999998</v>
      </c>
      <c r="T70" s="28">
        <v>21.652999999999999</v>
      </c>
      <c r="U70" s="28">
        <v>27.981999999999999</v>
      </c>
      <c r="V70" s="28">
        <v>23.209</v>
      </c>
      <c r="W70" s="28"/>
      <c r="X70" s="28"/>
      <c r="Y70" s="28">
        <v>12.164</v>
      </c>
      <c r="Z70" s="28"/>
      <c r="AA70" s="28"/>
      <c r="AB70" s="28"/>
      <c r="AC70" s="28"/>
      <c r="AD70" s="23"/>
      <c r="AE70" s="23"/>
      <c r="AF70" s="23"/>
      <c r="AG70" s="23"/>
      <c r="AH70" s="23"/>
      <c r="AI70" s="23"/>
      <c r="AP70" s="24">
        <v>0.68769999999999998</v>
      </c>
      <c r="AQ70" s="24">
        <v>4.0203999999999995</v>
      </c>
      <c r="AR70" s="24">
        <v>3.2797999999999998</v>
      </c>
      <c r="AS70" s="24">
        <v>11.426399999999999</v>
      </c>
      <c r="AT70" s="24">
        <v>11.197166666666666</v>
      </c>
      <c r="AU70" s="24">
        <v>9.17286</v>
      </c>
      <c r="AV70" s="24">
        <v>26.238399999999999</v>
      </c>
      <c r="AW70" s="24">
        <v>27.366933333333336</v>
      </c>
      <c r="AX70" s="24">
        <v>28.428460000000001</v>
      </c>
      <c r="AY70" s="24">
        <v>28.875842857142857</v>
      </c>
      <c r="AZ70" s="24">
        <v>62.263300000000001</v>
      </c>
      <c r="BA70" s="24">
        <v>70.991799999999998</v>
      </c>
      <c r="BB70" s="24"/>
      <c r="BC70" s="24"/>
      <c r="BD70" s="24">
        <v>194.3546</v>
      </c>
      <c r="BE70" s="24"/>
      <c r="BF70" s="24"/>
      <c r="BG70" s="24"/>
      <c r="BH70" s="24"/>
      <c r="BO70" s="3">
        <v>275</v>
      </c>
      <c r="BP70" s="3">
        <v>287</v>
      </c>
      <c r="BQ70" s="3">
        <v>178.1</v>
      </c>
      <c r="BR70" s="3">
        <v>192</v>
      </c>
      <c r="BS70" s="3">
        <v>227.99999999999997</v>
      </c>
      <c r="BV70" s="3">
        <v>66332.727840000007</v>
      </c>
      <c r="BW70" s="3">
        <v>14976.831389999999</v>
      </c>
      <c r="BX70" s="3">
        <v>13557.971236666666</v>
      </c>
      <c r="BY70" s="3">
        <v>4720.918224</v>
      </c>
      <c r="BZ70" s="3">
        <v>4290.0458253333336</v>
      </c>
      <c r="CA70" s="3">
        <v>3899.8478596</v>
      </c>
      <c r="CB70" s="3">
        <v>1450.2717379999999</v>
      </c>
      <c r="CC70" s="3">
        <v>1263.5255973333333</v>
      </c>
      <c r="CD70" s="3">
        <v>1008.2512370799999</v>
      </c>
      <c r="CE70" s="3">
        <v>590.34241292857143</v>
      </c>
      <c r="CF70" s="3">
        <v>271.40396980000003</v>
      </c>
      <c r="CG70" s="3">
        <v>192.88356150000001</v>
      </c>
      <c r="CJ70" s="3">
        <v>20.745291290000001</v>
      </c>
      <c r="CU70" s="3">
        <f t="shared" ref="CU70:CU99" si="47">-2*BV70</f>
        <v>-132665.45568000001</v>
      </c>
      <c r="CV70" s="3">
        <f t="shared" ref="CV70:CV122" si="48">-2*BW70</f>
        <v>-29953.662779999999</v>
      </c>
      <c r="CW70" s="3">
        <f t="shared" ref="CW70:CW122" si="49">-2*BX70</f>
        <v>-27115.942473333333</v>
      </c>
      <c r="CX70" s="3">
        <f t="shared" ref="CX70:CX122" si="50">-2*BY70</f>
        <v>-9441.836448</v>
      </c>
      <c r="CY70" s="3">
        <f t="shared" ref="CY70:CY122" si="51">-2*BZ70</f>
        <v>-8580.0916506666672</v>
      </c>
      <c r="CZ70" s="3">
        <f t="shared" ref="CZ70:CZ122" si="52">-2*CA70</f>
        <v>-7799.6957192</v>
      </c>
      <c r="DA70" s="3">
        <f t="shared" ref="DA70:DA122" si="53">-2*CB70</f>
        <v>-2900.5434759999998</v>
      </c>
      <c r="DB70" s="3">
        <f t="shared" ref="DB70:DB122" si="54">-2*CC70</f>
        <v>-2527.0511946666666</v>
      </c>
      <c r="DC70" s="3">
        <f t="shared" ref="DC70:DC122" si="55">-2*CD70</f>
        <v>-2016.5024741599998</v>
      </c>
      <c r="DD70" s="3">
        <f t="shared" ref="DD70:DD122" si="56">-2*CE70</f>
        <v>-1180.6848258571429</v>
      </c>
      <c r="DE70" s="3">
        <f t="shared" ref="DE70:DE122" si="57">-2*CF70</f>
        <v>-542.80793960000005</v>
      </c>
      <c r="DF70" s="3">
        <f t="shared" ref="DF70:DF122" si="58">-2*CG70</f>
        <v>-385.76712300000003</v>
      </c>
      <c r="DI70" s="3">
        <f t="shared" ref="DI70:DI122" si="59">-2*CJ70</f>
        <v>-41.490582580000002</v>
      </c>
      <c r="DT70" s="3">
        <f t="shared" ref="DT70:DT99" si="60">-1*BV70</f>
        <v>-66332.727840000007</v>
      </c>
      <c r="DU70" s="3">
        <f t="shared" si="28"/>
        <v>-14976.831389999999</v>
      </c>
      <c r="DV70" s="3">
        <f t="shared" si="30"/>
        <v>-13557.971236666666</v>
      </c>
      <c r="DW70" s="3">
        <f t="shared" si="34"/>
        <v>-4720.918224</v>
      </c>
      <c r="DX70" s="3">
        <f t="shared" si="35"/>
        <v>-4290.0458253333336</v>
      </c>
      <c r="DY70" s="3">
        <f t="shared" si="40"/>
        <v>-3899.8478596</v>
      </c>
      <c r="DZ70" s="3">
        <f t="shared" si="39"/>
        <v>-1450.2717379999999</v>
      </c>
      <c r="EA70" s="3">
        <f t="shared" si="46"/>
        <v>-1263.5255973333333</v>
      </c>
      <c r="EB70" s="3">
        <f t="shared" si="33"/>
        <v>-1008.2512370799999</v>
      </c>
      <c r="EC70" s="3">
        <f t="shared" si="45"/>
        <v>-590.34241292857143</v>
      </c>
      <c r="ED70" s="3">
        <f t="shared" si="36"/>
        <v>-271.40396980000003</v>
      </c>
      <c r="EE70" s="3">
        <f t="shared" si="38"/>
        <v>-192.88356150000001</v>
      </c>
      <c r="EH70" s="3">
        <f t="shared" si="42"/>
        <v>-20.745291290000001</v>
      </c>
      <c r="ES70" s="3">
        <v>5.9282079999999997</v>
      </c>
      <c r="ET70" s="3">
        <v>11.669864</v>
      </c>
      <c r="EV70" s="3">
        <v>22.800800000000002</v>
      </c>
      <c r="EW70" s="3">
        <v>41.456000000000003</v>
      </c>
      <c r="EX70" s="3">
        <v>62.080360000000006</v>
      </c>
      <c r="FC70" s="32">
        <v>194.3546</v>
      </c>
      <c r="FD70" s="16"/>
    </row>
    <row r="71" spans="3:160" ht="16" x14ac:dyDescent="0.2">
      <c r="C71" s="7" t="s">
        <v>67</v>
      </c>
      <c r="D71" s="3">
        <v>67</v>
      </c>
      <c r="E71" s="3">
        <v>164.930329</v>
      </c>
      <c r="F71" s="3">
        <v>2.12</v>
      </c>
      <c r="G71" s="3">
        <v>1.23</v>
      </c>
      <c r="H71" s="3">
        <v>8.8000000000000007</v>
      </c>
      <c r="I71" s="3">
        <v>1747</v>
      </c>
      <c r="J71" s="3">
        <v>2973</v>
      </c>
      <c r="K71" s="28">
        <v>66.244</v>
      </c>
      <c r="L71" s="28">
        <v>63.023000000000003</v>
      </c>
      <c r="M71" s="28">
        <v>61.363</v>
      </c>
      <c r="N71" s="28">
        <v>56.15</v>
      </c>
      <c r="O71" s="28">
        <v>53.360000000000007</v>
      </c>
      <c r="P71" s="28">
        <v>49.957000000000001</v>
      </c>
      <c r="Q71" s="28">
        <v>45.055</v>
      </c>
      <c r="R71" s="28">
        <v>41.257333333333328</v>
      </c>
      <c r="S71" s="28">
        <v>34.853600000000007</v>
      </c>
      <c r="T71" s="28">
        <v>22.19014285714286</v>
      </c>
      <c r="U71" s="28">
        <v>28.510999999999999</v>
      </c>
      <c r="V71" s="28">
        <v>23.605666666666664</v>
      </c>
      <c r="W71" s="28"/>
      <c r="X71" s="28"/>
      <c r="Y71" s="28">
        <v>12.31</v>
      </c>
      <c r="Z71" s="28"/>
      <c r="AA71" s="28"/>
      <c r="AB71" s="28"/>
      <c r="AC71" s="28"/>
      <c r="AD71" s="23"/>
      <c r="AE71" s="23"/>
      <c r="AF71" s="23"/>
      <c r="AG71" s="23"/>
      <c r="AH71" s="23"/>
      <c r="AI71" s="23"/>
      <c r="AP71" s="24">
        <v>0.68769999999999998</v>
      </c>
      <c r="AQ71" s="24">
        <v>3.9674999999999998</v>
      </c>
      <c r="AR71" s="24">
        <v>3.2092666666666667</v>
      </c>
      <c r="AS71" s="24">
        <v>11.161899999999999</v>
      </c>
      <c r="AT71" s="24">
        <v>10.985566666666665</v>
      </c>
      <c r="AU71" s="24">
        <v>8.9824199999999994</v>
      </c>
      <c r="AV71" s="24">
        <v>25.656499999999998</v>
      </c>
      <c r="AW71" s="24">
        <v>26.785033333333335</v>
      </c>
      <c r="AX71" s="24">
        <v>27.814820000000005</v>
      </c>
      <c r="AY71" s="24">
        <v>28.059671428571427</v>
      </c>
      <c r="AZ71" s="24">
        <v>61.046599999999991</v>
      </c>
      <c r="BA71" s="24">
        <v>69.634033333333335</v>
      </c>
      <c r="BB71" s="24"/>
      <c r="BC71" s="24"/>
      <c r="BD71" s="24">
        <v>191.76249999999999</v>
      </c>
      <c r="BE71" s="24"/>
      <c r="BF71" s="24"/>
      <c r="BG71" s="24"/>
      <c r="BH71" s="24"/>
      <c r="BO71" s="3">
        <v>273</v>
      </c>
      <c r="BP71" s="3">
        <v>281</v>
      </c>
      <c r="BQ71" s="3">
        <v>176.2</v>
      </c>
      <c r="BR71" s="3">
        <v>192</v>
      </c>
      <c r="BS71" s="3">
        <v>225.99999999999997</v>
      </c>
      <c r="BV71" s="3">
        <v>68685.173750000002</v>
      </c>
      <c r="BW71" s="3">
        <v>15555.434660000001</v>
      </c>
      <c r="BX71" s="3">
        <v>14037.363619999998</v>
      </c>
      <c r="BY71" s="3">
        <v>4920.2620200000001</v>
      </c>
      <c r="BZ71" s="3">
        <v>4462.7387006666668</v>
      </c>
      <c r="CA71" s="3">
        <v>4054.156379</v>
      </c>
      <c r="CB71" s="3">
        <v>1516.590751</v>
      </c>
      <c r="CC71" s="3">
        <v>1319.5636056666665</v>
      </c>
      <c r="CD71" s="3">
        <v>1054.6335033999999</v>
      </c>
      <c r="CE71" s="3">
        <v>622.60258525714278</v>
      </c>
      <c r="CF71" s="3">
        <v>282.30474679999998</v>
      </c>
      <c r="CG71" s="3">
        <v>199.57781413333336</v>
      </c>
      <c r="CJ71" s="3">
        <v>21.189045010000001</v>
      </c>
      <c r="CU71" s="3">
        <f t="shared" si="47"/>
        <v>-137370.3475</v>
      </c>
      <c r="CV71" s="3">
        <f t="shared" si="48"/>
        <v>-31110.869320000002</v>
      </c>
      <c r="CW71" s="3">
        <f t="shared" si="49"/>
        <v>-28074.727239999997</v>
      </c>
      <c r="CX71" s="3">
        <f t="shared" si="50"/>
        <v>-9840.5240400000002</v>
      </c>
      <c r="CY71" s="3">
        <f t="shared" si="51"/>
        <v>-8925.4774013333335</v>
      </c>
      <c r="CZ71" s="3">
        <f t="shared" si="52"/>
        <v>-8108.312758</v>
      </c>
      <c r="DA71" s="3">
        <f t="shared" si="53"/>
        <v>-3033.1815019999999</v>
      </c>
      <c r="DB71" s="3">
        <f t="shared" si="54"/>
        <v>-2639.127211333333</v>
      </c>
      <c r="DC71" s="3">
        <f t="shared" si="55"/>
        <v>-2109.2670067999998</v>
      </c>
      <c r="DD71" s="3">
        <f t="shared" si="56"/>
        <v>-1245.2051705142856</v>
      </c>
      <c r="DE71" s="3">
        <f t="shared" si="57"/>
        <v>-564.60949359999995</v>
      </c>
      <c r="DF71" s="3">
        <f t="shared" si="58"/>
        <v>-399.15562826666672</v>
      </c>
      <c r="DI71" s="3">
        <f t="shared" si="59"/>
        <v>-42.378090020000002</v>
      </c>
      <c r="DT71" s="3">
        <f t="shared" si="60"/>
        <v>-68685.173750000002</v>
      </c>
      <c r="DU71" s="3">
        <f t="shared" ref="DU71:DU99" si="61">-1*BW71</f>
        <v>-15555.434660000001</v>
      </c>
      <c r="DV71" s="3">
        <f t="shared" si="30"/>
        <v>-14037.363619999998</v>
      </c>
      <c r="DW71" s="3">
        <f t="shared" si="34"/>
        <v>-4920.2620200000001</v>
      </c>
      <c r="DX71" s="3">
        <f t="shared" si="35"/>
        <v>-4462.7387006666668</v>
      </c>
      <c r="DY71" s="3">
        <f t="shared" si="40"/>
        <v>-4054.156379</v>
      </c>
      <c r="DZ71" s="3">
        <f t="shared" si="39"/>
        <v>-1516.590751</v>
      </c>
      <c r="EA71" s="3">
        <f t="shared" si="46"/>
        <v>-1319.5636056666665</v>
      </c>
      <c r="EB71" s="3">
        <f t="shared" si="33"/>
        <v>-1054.6335033999999</v>
      </c>
      <c r="EC71" s="3">
        <f t="shared" si="45"/>
        <v>-622.60258525714278</v>
      </c>
      <c r="ED71" s="3">
        <f t="shared" si="36"/>
        <v>-282.30474679999998</v>
      </c>
      <c r="EE71" s="3">
        <f t="shared" si="38"/>
        <v>-199.57781413333336</v>
      </c>
      <c r="EH71" s="3">
        <f t="shared" si="42"/>
        <v>-21.189045010000001</v>
      </c>
      <c r="ES71" s="3">
        <v>6.0214840000000001</v>
      </c>
      <c r="ET71" s="3">
        <v>11.804596000000002</v>
      </c>
      <c r="EV71" s="3">
        <v>22.800800000000002</v>
      </c>
      <c r="EW71" s="3">
        <v>42.492399999999996</v>
      </c>
      <c r="EX71" s="3">
        <v>63.935516</v>
      </c>
      <c r="FC71" s="32">
        <v>191.76249999999999</v>
      </c>
      <c r="FD71" s="16"/>
    </row>
    <row r="72" spans="3:160" ht="16" x14ac:dyDescent="0.2">
      <c r="C72" s="7" t="s">
        <v>68</v>
      </c>
      <c r="D72" s="3">
        <v>68</v>
      </c>
      <c r="E72" s="3">
        <v>167.25899999999999</v>
      </c>
      <c r="F72" s="3">
        <v>2.02</v>
      </c>
      <c r="G72" s="3">
        <v>1.24</v>
      </c>
      <c r="H72" s="3">
        <v>9.07</v>
      </c>
      <c r="I72" s="3">
        <v>1802</v>
      </c>
      <c r="J72" s="3">
        <v>3141</v>
      </c>
      <c r="K72" s="28">
        <v>67.241</v>
      </c>
      <c r="L72" s="28">
        <v>64.033000000000001</v>
      </c>
      <c r="M72" s="28">
        <v>62.355999999999995</v>
      </c>
      <c r="N72" s="28">
        <v>57.162999999999997</v>
      </c>
      <c r="O72" s="28">
        <v>54.340666666666664</v>
      </c>
      <c r="P72" s="28">
        <v>50.923199999999994</v>
      </c>
      <c r="Q72" s="28">
        <v>45.953000000000003</v>
      </c>
      <c r="R72" s="28">
        <v>42.085999999999999</v>
      </c>
      <c r="S72" s="28">
        <v>35.6098</v>
      </c>
      <c r="T72" s="28">
        <v>22.721285714285717</v>
      </c>
      <c r="U72" s="28">
        <v>29.042999999999999</v>
      </c>
      <c r="V72" s="28">
        <v>24.002666666666666</v>
      </c>
      <c r="W72" s="28"/>
      <c r="X72" s="28"/>
      <c r="Y72" s="28">
        <v>12.457000000000001</v>
      </c>
      <c r="Z72" s="28"/>
      <c r="AA72" s="28"/>
      <c r="AB72" s="28"/>
      <c r="AC72" s="28"/>
      <c r="AD72" s="23"/>
      <c r="AE72" s="23"/>
      <c r="AF72" s="23"/>
      <c r="AG72" s="23"/>
      <c r="AH72" s="23"/>
      <c r="AI72" s="23"/>
      <c r="AP72" s="24">
        <v>0.68769999999999998</v>
      </c>
      <c r="AQ72" s="24">
        <v>3.8616999999999995</v>
      </c>
      <c r="AR72" s="24">
        <v>3.1563666666666665</v>
      </c>
      <c r="AS72" s="24">
        <v>10.950299999999999</v>
      </c>
      <c r="AT72" s="24">
        <v>10.773966666666666</v>
      </c>
      <c r="AU72" s="24">
        <v>8.8237199999999998</v>
      </c>
      <c r="AV72" s="24">
        <v>25.127499999999998</v>
      </c>
      <c r="AW72" s="24">
        <v>26.256033333333331</v>
      </c>
      <c r="AX72" s="24">
        <v>27.232919999999996</v>
      </c>
      <c r="AY72" s="24">
        <v>27.266171428571429</v>
      </c>
      <c r="AZ72" s="24">
        <v>59.829900000000002</v>
      </c>
      <c r="BA72" s="24">
        <v>68.39970000000001</v>
      </c>
      <c r="BB72" s="24"/>
      <c r="BC72" s="24"/>
      <c r="BD72" s="24">
        <v>189.11750000000001</v>
      </c>
      <c r="BE72" s="24"/>
      <c r="BF72" s="24"/>
      <c r="BG72" s="24"/>
      <c r="BH72" s="24"/>
      <c r="BO72" s="3">
        <v>272</v>
      </c>
      <c r="BP72" s="3">
        <v>283</v>
      </c>
      <c r="BQ72" s="3">
        <v>176.1</v>
      </c>
      <c r="BR72" s="3">
        <v>189</v>
      </c>
      <c r="BS72" s="3">
        <v>225.99999999999997</v>
      </c>
      <c r="BV72" s="3">
        <v>71095.397580000004</v>
      </c>
      <c r="BW72" s="3">
        <v>16150.29184</v>
      </c>
      <c r="BX72" s="3">
        <v>14527.295063333333</v>
      </c>
      <c r="BY72" s="3">
        <v>5125.1411550000003</v>
      </c>
      <c r="BZ72" s="3">
        <v>4639.4262069999995</v>
      </c>
      <c r="CA72" s="3">
        <v>4211.4420967999995</v>
      </c>
      <c r="CB72" s="3">
        <v>1584.709171</v>
      </c>
      <c r="CC72" s="3">
        <v>1376.8782093333332</v>
      </c>
      <c r="CD72" s="3">
        <v>1101.9367827999999</v>
      </c>
      <c r="CE72" s="3">
        <v>655.46174242857137</v>
      </c>
      <c r="CF72" s="3">
        <v>293.5193744</v>
      </c>
      <c r="CG72" s="3">
        <v>206.40845469999999</v>
      </c>
      <c r="CJ72" s="3">
        <v>21.643392670000001</v>
      </c>
      <c r="CU72" s="3">
        <f t="shared" si="47"/>
        <v>-142190.79516000001</v>
      </c>
      <c r="CV72" s="3">
        <f t="shared" si="48"/>
        <v>-32300.58368</v>
      </c>
      <c r="CW72" s="3">
        <f t="shared" si="49"/>
        <v>-29054.590126666666</v>
      </c>
      <c r="CX72" s="3">
        <f t="shared" si="50"/>
        <v>-10250.282310000001</v>
      </c>
      <c r="CY72" s="3">
        <f t="shared" si="51"/>
        <v>-9278.852413999999</v>
      </c>
      <c r="CZ72" s="3">
        <f t="shared" si="52"/>
        <v>-8422.884193599999</v>
      </c>
      <c r="DA72" s="3">
        <f t="shared" si="53"/>
        <v>-3169.4183419999999</v>
      </c>
      <c r="DB72" s="3">
        <f t="shared" si="54"/>
        <v>-2753.7564186666664</v>
      </c>
      <c r="DC72" s="3">
        <f t="shared" si="55"/>
        <v>-2203.8735655999999</v>
      </c>
      <c r="DD72" s="3">
        <f t="shared" si="56"/>
        <v>-1310.9234848571427</v>
      </c>
      <c r="DE72" s="3">
        <f t="shared" si="57"/>
        <v>-587.03874880000001</v>
      </c>
      <c r="DF72" s="3">
        <f t="shared" si="58"/>
        <v>-412.81690939999999</v>
      </c>
      <c r="DI72" s="3">
        <f t="shared" si="59"/>
        <v>-43.286785340000002</v>
      </c>
      <c r="DT72" s="3">
        <f t="shared" si="60"/>
        <v>-71095.397580000004</v>
      </c>
      <c r="DU72" s="3">
        <f t="shared" si="61"/>
        <v>-16150.29184</v>
      </c>
      <c r="DV72" s="3">
        <f t="shared" si="30"/>
        <v>-14527.295063333333</v>
      </c>
      <c r="DW72" s="3">
        <f t="shared" si="34"/>
        <v>-5125.1411550000003</v>
      </c>
      <c r="DX72" s="3">
        <f t="shared" si="35"/>
        <v>-4639.4262069999995</v>
      </c>
      <c r="DY72" s="3">
        <f t="shared" si="40"/>
        <v>-4211.4420967999995</v>
      </c>
      <c r="DZ72" s="3">
        <f t="shared" si="39"/>
        <v>-1584.709171</v>
      </c>
      <c r="EA72" s="3">
        <f t="shared" si="46"/>
        <v>-1376.8782093333332</v>
      </c>
      <c r="EB72" s="3">
        <f t="shared" si="33"/>
        <v>-1101.9367827999999</v>
      </c>
      <c r="EC72" s="3">
        <f t="shared" si="45"/>
        <v>-655.46174242857137</v>
      </c>
      <c r="ED72" s="3">
        <f t="shared" si="36"/>
        <v>-293.5193744</v>
      </c>
      <c r="EE72" s="3">
        <f t="shared" si="38"/>
        <v>-206.40845469999999</v>
      </c>
      <c r="EH72" s="3">
        <f t="shared" si="42"/>
        <v>-21.643392670000001</v>
      </c>
      <c r="ES72" s="3">
        <v>6.1043960000000004</v>
      </c>
      <c r="ET72" s="3">
        <v>11.928964000000001</v>
      </c>
      <c r="EV72" s="3">
        <v>22.69716</v>
      </c>
      <c r="EW72" s="3">
        <v>42.596040000000009</v>
      </c>
      <c r="EX72" s="3">
        <v>65.106648000000007</v>
      </c>
      <c r="FC72" s="32">
        <v>189.11750000000001</v>
      </c>
      <c r="FD72" s="16"/>
    </row>
    <row r="73" spans="3:160" ht="16" x14ac:dyDescent="0.2">
      <c r="C73" s="7" t="s">
        <v>69</v>
      </c>
      <c r="D73" s="3">
        <v>69</v>
      </c>
      <c r="E73" s="3">
        <v>168.93421900000001</v>
      </c>
      <c r="F73" s="3">
        <v>2.0299999999999998</v>
      </c>
      <c r="G73" s="3">
        <v>1.25</v>
      </c>
      <c r="H73" s="3">
        <v>9.32</v>
      </c>
      <c r="I73" s="3">
        <v>1818</v>
      </c>
      <c r="J73" s="3">
        <v>2223</v>
      </c>
      <c r="K73" s="28">
        <v>68.239000000000004</v>
      </c>
      <c r="L73" s="28">
        <v>65.043999999999997</v>
      </c>
      <c r="M73" s="28">
        <v>63.348333333333336</v>
      </c>
      <c r="N73" s="28">
        <v>58.177999999999997</v>
      </c>
      <c r="O73" s="28">
        <v>55.321000000000005</v>
      </c>
      <c r="P73" s="28">
        <v>51.888999999999996</v>
      </c>
      <c r="Q73" s="28">
        <v>46.850999999999999</v>
      </c>
      <c r="R73" s="28">
        <v>42.912333333333329</v>
      </c>
      <c r="S73" s="28">
        <v>36.36</v>
      </c>
      <c r="T73" s="28">
        <v>23.276285714285716</v>
      </c>
      <c r="U73" s="28">
        <v>29.571999999999999</v>
      </c>
      <c r="V73" s="28">
        <v>24.391000000000002</v>
      </c>
      <c r="W73" s="28"/>
      <c r="X73" s="28"/>
      <c r="Y73" s="28">
        <v>12.601000000000001</v>
      </c>
      <c r="Z73" s="28"/>
      <c r="AA73" s="28"/>
      <c r="AB73" s="28"/>
      <c r="AC73" s="28"/>
      <c r="AD73" s="23"/>
      <c r="AE73" s="23"/>
      <c r="AF73" s="23"/>
      <c r="AG73" s="23"/>
      <c r="AH73" s="23"/>
      <c r="AI73" s="23"/>
      <c r="AP73" s="24">
        <v>0.68769999999999998</v>
      </c>
      <c r="AQ73" s="24">
        <v>3.8087999999999997</v>
      </c>
      <c r="AR73" s="24">
        <v>3.1034666666666664</v>
      </c>
      <c r="AS73" s="24">
        <v>10.7387</v>
      </c>
      <c r="AT73" s="24">
        <v>10.58</v>
      </c>
      <c r="AU73" s="24">
        <v>8.6438600000000001</v>
      </c>
      <c r="AV73" s="24">
        <v>24.651400000000002</v>
      </c>
      <c r="AW73" s="24">
        <v>25.762299999999996</v>
      </c>
      <c r="AX73" s="24">
        <v>26.682760000000002</v>
      </c>
      <c r="AY73" s="24">
        <v>26.578471428571426</v>
      </c>
      <c r="AZ73" s="24">
        <v>58.719000000000001</v>
      </c>
      <c r="BA73" s="24">
        <v>67.182999999999993</v>
      </c>
      <c r="BB73" s="24"/>
      <c r="BC73" s="24"/>
      <c r="BD73" s="24">
        <v>186.73699999999999</v>
      </c>
      <c r="BE73" s="24"/>
      <c r="BF73" s="24"/>
      <c r="BG73" s="24"/>
      <c r="BH73" s="24"/>
      <c r="BO73" s="3">
        <v>271</v>
      </c>
      <c r="BP73" s="3">
        <v>279</v>
      </c>
      <c r="BQ73" s="3">
        <v>175.9</v>
      </c>
      <c r="BR73" s="3">
        <v>190</v>
      </c>
      <c r="BS73" s="3">
        <v>222.00000000000003</v>
      </c>
      <c r="BV73" s="3">
        <v>73567.742280000006</v>
      </c>
      <c r="BW73" s="3">
        <v>16762.32158</v>
      </c>
      <c r="BX73" s="3">
        <v>15027.966109999999</v>
      </c>
      <c r="BY73" s="3">
        <v>5335.7934569999998</v>
      </c>
      <c r="BZ73" s="3">
        <v>4820.1653973333332</v>
      </c>
      <c r="CA73" s="3">
        <v>4371.7116504000005</v>
      </c>
      <c r="CB73" s="3">
        <v>1654.551868</v>
      </c>
      <c r="CC73" s="3">
        <v>1435.32691</v>
      </c>
      <c r="CD73" s="3">
        <v>1149.9654955999999</v>
      </c>
      <c r="CE73" s="3">
        <v>689.59621154285719</v>
      </c>
      <c r="CF73" s="3">
        <v>304.85514710000001</v>
      </c>
      <c r="CG73" s="3">
        <v>213.17747876666667</v>
      </c>
      <c r="CJ73" s="3">
        <v>22.096546020000002</v>
      </c>
      <c r="CU73" s="3">
        <f t="shared" si="47"/>
        <v>-147135.48456000001</v>
      </c>
      <c r="CV73" s="3">
        <f t="shared" si="48"/>
        <v>-33524.64316</v>
      </c>
      <c r="CW73" s="3">
        <f t="shared" si="49"/>
        <v>-30055.932219999999</v>
      </c>
      <c r="CX73" s="3">
        <f t="shared" si="50"/>
        <v>-10671.586914</v>
      </c>
      <c r="CY73" s="3">
        <f t="shared" si="51"/>
        <v>-9640.3307946666664</v>
      </c>
      <c r="CZ73" s="3">
        <f t="shared" si="52"/>
        <v>-8743.423300800001</v>
      </c>
      <c r="DA73" s="3">
        <f t="shared" si="53"/>
        <v>-3309.103736</v>
      </c>
      <c r="DB73" s="3">
        <f t="shared" si="54"/>
        <v>-2870.65382</v>
      </c>
      <c r="DC73" s="3">
        <f t="shared" si="55"/>
        <v>-2299.9309911999999</v>
      </c>
      <c r="DD73" s="3">
        <f t="shared" si="56"/>
        <v>-1379.1924230857144</v>
      </c>
      <c r="DE73" s="3">
        <f t="shared" si="57"/>
        <v>-609.71029420000002</v>
      </c>
      <c r="DF73" s="3">
        <f t="shared" si="58"/>
        <v>-426.35495753333333</v>
      </c>
      <c r="DI73" s="3">
        <f t="shared" si="59"/>
        <v>-44.193092040000003</v>
      </c>
      <c r="DT73" s="3">
        <f t="shared" si="60"/>
        <v>-73567.742280000006</v>
      </c>
      <c r="DU73" s="3">
        <f t="shared" si="61"/>
        <v>-16762.32158</v>
      </c>
      <c r="DV73" s="3">
        <f t="shared" ref="DV73:DV99" si="62">-1*BX73</f>
        <v>-15027.966109999999</v>
      </c>
      <c r="DW73" s="3">
        <f t="shared" si="34"/>
        <v>-5335.7934569999998</v>
      </c>
      <c r="DX73" s="3">
        <f t="shared" si="35"/>
        <v>-4820.1653973333332</v>
      </c>
      <c r="DY73" s="3">
        <f t="shared" si="40"/>
        <v>-4371.7116504000005</v>
      </c>
      <c r="DZ73" s="3">
        <f t="shared" si="39"/>
        <v>-1654.551868</v>
      </c>
      <c r="EA73" s="3">
        <f t="shared" si="46"/>
        <v>-1435.32691</v>
      </c>
      <c r="EB73" s="3">
        <f t="shared" si="33"/>
        <v>-1149.9654955999999</v>
      </c>
      <c r="EC73" s="3">
        <f t="shared" si="45"/>
        <v>-689.59621154285719</v>
      </c>
      <c r="ED73" s="3">
        <f t="shared" si="36"/>
        <v>-304.85514710000001</v>
      </c>
      <c r="EE73" s="3">
        <f t="shared" si="38"/>
        <v>-213.17747876666667</v>
      </c>
      <c r="EH73" s="3">
        <f t="shared" si="42"/>
        <v>-22.096546020000002</v>
      </c>
      <c r="ES73" s="3">
        <v>6.1841988000000008</v>
      </c>
      <c r="ET73" s="3">
        <v>12.053332000000001</v>
      </c>
      <c r="EV73" s="3">
        <v>23.671375999999999</v>
      </c>
      <c r="EW73" s="3">
        <v>42.699680000000001</v>
      </c>
      <c r="EX73" s="3">
        <v>65.427931999999998</v>
      </c>
      <c r="FC73" s="32">
        <v>186.73699999999999</v>
      </c>
      <c r="FD73" s="16"/>
    </row>
    <row r="74" spans="3:160" ht="16" x14ac:dyDescent="0.2">
      <c r="C74" s="7" t="s">
        <v>70</v>
      </c>
      <c r="D74" s="3">
        <v>70</v>
      </c>
      <c r="E74" s="3">
        <v>173.04499999999999</v>
      </c>
      <c r="F74" s="3">
        <v>1.78</v>
      </c>
      <c r="H74" s="3">
        <v>6.9</v>
      </c>
      <c r="I74" s="3">
        <v>1092</v>
      </c>
      <c r="J74" s="3">
        <v>1469</v>
      </c>
      <c r="K74" s="28">
        <v>69.236999999999995</v>
      </c>
      <c r="L74" s="28">
        <v>66.055000000000007</v>
      </c>
      <c r="M74" s="28">
        <v>64.341666666666669</v>
      </c>
      <c r="N74" s="28">
        <v>59.192999999999998</v>
      </c>
      <c r="O74" s="28">
        <v>56.30233333333333</v>
      </c>
      <c r="P74" s="28">
        <v>52.852800000000002</v>
      </c>
      <c r="Q74" s="28">
        <v>47.747999999999998</v>
      </c>
      <c r="R74" s="28">
        <v>43.73533333333333</v>
      </c>
      <c r="S74" s="28">
        <v>37.104799999999997</v>
      </c>
      <c r="T74" s="28">
        <v>23.855142857142855</v>
      </c>
      <c r="U74" s="28">
        <v>30.093</v>
      </c>
      <c r="V74" s="28">
        <v>24.768999999999995</v>
      </c>
      <c r="W74" s="28"/>
      <c r="X74" s="28"/>
      <c r="Y74" s="28">
        <v>12.741</v>
      </c>
      <c r="Z74" s="28"/>
      <c r="AA74" s="28"/>
      <c r="AB74" s="28"/>
      <c r="AC74" s="28"/>
      <c r="AD74" s="23"/>
      <c r="AE74" s="23"/>
      <c r="AF74" s="23"/>
      <c r="AG74" s="23"/>
      <c r="AH74" s="23"/>
      <c r="AI74" s="23"/>
      <c r="AP74" s="24">
        <v>0.63480000000000003</v>
      </c>
      <c r="AQ74" s="24">
        <v>3.7558999999999996</v>
      </c>
      <c r="AR74" s="24">
        <v>3.0505666666666666</v>
      </c>
      <c r="AS74" s="24">
        <v>10.58</v>
      </c>
      <c r="AT74" s="24">
        <v>10.403666666666668</v>
      </c>
      <c r="AU74" s="24">
        <v>8.4851600000000005</v>
      </c>
      <c r="AV74" s="24">
        <v>24.1753</v>
      </c>
      <c r="AW74" s="24">
        <v>25.268566666666668</v>
      </c>
      <c r="AX74" s="24">
        <v>26.122020000000003</v>
      </c>
      <c r="AY74" s="24">
        <v>25.89077142857143</v>
      </c>
      <c r="AZ74" s="24">
        <v>57.6081</v>
      </c>
      <c r="BA74" s="24">
        <v>66.036833333333334</v>
      </c>
      <c r="BB74" s="24"/>
      <c r="BC74" s="24"/>
      <c r="BD74" s="24">
        <v>184.30359999999999</v>
      </c>
      <c r="BE74" s="24"/>
      <c r="BF74" s="24"/>
      <c r="BG74" s="24"/>
      <c r="BH74" s="24"/>
      <c r="BO74" s="3">
        <v>277</v>
      </c>
      <c r="BP74" s="3">
        <v>280</v>
      </c>
      <c r="BQ74" s="3">
        <v>176</v>
      </c>
      <c r="BR74" s="3">
        <v>187</v>
      </c>
      <c r="BS74" s="3">
        <v>222.00000000000003</v>
      </c>
      <c r="BV74" s="3">
        <v>76099.649990000005</v>
      </c>
      <c r="BW74" s="3">
        <v>17391.413670000002</v>
      </c>
      <c r="BX74" s="3">
        <v>15539.568973333333</v>
      </c>
      <c r="BY74" s="3">
        <v>5552.2257289999998</v>
      </c>
      <c r="BZ74" s="3">
        <v>5005.0207639999999</v>
      </c>
      <c r="CA74" s="3">
        <v>4534.9773413999992</v>
      </c>
      <c r="CB74" s="3">
        <v>1726.0899979999999</v>
      </c>
      <c r="CC74" s="3">
        <v>1494.8863796666667</v>
      </c>
      <c r="CD74" s="3">
        <v>1198.6669121999998</v>
      </c>
      <c r="CE74" s="3">
        <v>724.94298675714288</v>
      </c>
      <c r="CF74" s="3">
        <v>316.2422133</v>
      </c>
      <c r="CG74" s="3">
        <v>219.8153566</v>
      </c>
      <c r="CJ74" s="3">
        <v>22.543057619999999</v>
      </c>
      <c r="CU74" s="3">
        <f t="shared" si="47"/>
        <v>-152199.29998000001</v>
      </c>
      <c r="CV74" s="3">
        <f t="shared" si="48"/>
        <v>-34782.827340000003</v>
      </c>
      <c r="CW74" s="3">
        <f t="shared" si="49"/>
        <v>-31079.137946666666</v>
      </c>
      <c r="CX74" s="3">
        <f t="shared" si="50"/>
        <v>-11104.451458</v>
      </c>
      <c r="CY74" s="3">
        <f t="shared" si="51"/>
        <v>-10010.041528</v>
      </c>
      <c r="CZ74" s="3">
        <f t="shared" si="52"/>
        <v>-9069.9546827999984</v>
      </c>
      <c r="DA74" s="3">
        <f t="shared" si="53"/>
        <v>-3452.1799959999998</v>
      </c>
      <c r="DB74" s="3">
        <f t="shared" si="54"/>
        <v>-2989.7727593333334</v>
      </c>
      <c r="DC74" s="3">
        <f t="shared" si="55"/>
        <v>-2397.3338243999997</v>
      </c>
      <c r="DD74" s="3">
        <f t="shared" si="56"/>
        <v>-1449.8859735142858</v>
      </c>
      <c r="DE74" s="3">
        <f t="shared" si="57"/>
        <v>-632.48442660000001</v>
      </c>
      <c r="DF74" s="3">
        <f t="shared" si="58"/>
        <v>-439.6307132</v>
      </c>
      <c r="DI74" s="3">
        <f t="shared" si="59"/>
        <v>-45.086115239999998</v>
      </c>
      <c r="DT74" s="3">
        <f t="shared" si="60"/>
        <v>-76099.649990000005</v>
      </c>
      <c r="DU74" s="3">
        <f t="shared" si="61"/>
        <v>-17391.413670000002</v>
      </c>
      <c r="DV74" s="3">
        <f t="shared" si="62"/>
        <v>-15539.568973333333</v>
      </c>
      <c r="DW74" s="3">
        <f t="shared" si="34"/>
        <v>-5552.2257289999998</v>
      </c>
      <c r="DX74" s="3">
        <f t="shared" si="35"/>
        <v>-5005.0207639999999</v>
      </c>
      <c r="DY74" s="3">
        <f t="shared" si="40"/>
        <v>-4534.9773413999992</v>
      </c>
      <c r="DZ74" s="3">
        <f t="shared" si="39"/>
        <v>-1726.0899979999999</v>
      </c>
      <c r="EA74" s="3">
        <f t="shared" si="46"/>
        <v>-1494.8863796666667</v>
      </c>
      <c r="EB74" s="3">
        <f t="shared" si="33"/>
        <v>-1198.6669121999998</v>
      </c>
      <c r="EC74" s="3">
        <f t="shared" si="45"/>
        <v>-724.94298675714288</v>
      </c>
      <c r="ED74" s="3">
        <f t="shared" si="36"/>
        <v>-316.2422133</v>
      </c>
      <c r="EE74" s="3">
        <f t="shared" si="38"/>
        <v>-219.8153566</v>
      </c>
      <c r="EH74" s="3">
        <f t="shared" si="42"/>
        <v>-22.543057619999999</v>
      </c>
      <c r="ES74" s="3">
        <v>6.2536376000000011</v>
      </c>
      <c r="ET74" s="3">
        <v>12.177700000000002</v>
      </c>
      <c r="EV74" s="3">
        <v>25.029060000000001</v>
      </c>
      <c r="EW74" s="3">
        <v>43.736080000000001</v>
      </c>
      <c r="EX74" s="3">
        <v>65.583392000000003</v>
      </c>
      <c r="FC74" s="32">
        <v>184.30359999999999</v>
      </c>
      <c r="FD74" s="16"/>
    </row>
    <row r="75" spans="3:160" ht="16" x14ac:dyDescent="0.2">
      <c r="C75" s="7" t="s">
        <v>71</v>
      </c>
      <c r="D75" s="3">
        <v>71</v>
      </c>
      <c r="E75" s="3">
        <v>174.96669</v>
      </c>
      <c r="F75" s="3">
        <v>2.68</v>
      </c>
      <c r="G75" s="3">
        <v>1.27</v>
      </c>
      <c r="H75" s="3">
        <v>9.84</v>
      </c>
      <c r="I75" s="3">
        <v>1936</v>
      </c>
      <c r="J75" s="3">
        <v>3675</v>
      </c>
      <c r="K75" s="28">
        <v>70.233999999999995</v>
      </c>
      <c r="L75" s="28">
        <v>67.064999999999998</v>
      </c>
      <c r="M75" s="28">
        <v>65.333333333333329</v>
      </c>
      <c r="N75" s="28">
        <v>60.207000000000001</v>
      </c>
      <c r="O75" s="28">
        <v>57.28</v>
      </c>
      <c r="P75" s="28">
        <v>53.812400000000004</v>
      </c>
      <c r="Q75" s="28">
        <v>48.697000000000003</v>
      </c>
      <c r="R75" s="28">
        <v>44.628666666666668</v>
      </c>
      <c r="S75" s="28">
        <v>37.980600000000003</v>
      </c>
      <c r="T75" s="28">
        <v>25.612285714285715</v>
      </c>
      <c r="U75" s="28">
        <v>31.122</v>
      </c>
      <c r="V75" s="28">
        <v>25.820333333333334</v>
      </c>
      <c r="W75" s="28">
        <v>5.1364000000000001</v>
      </c>
      <c r="X75" s="28"/>
      <c r="Y75" s="28">
        <v>13.77</v>
      </c>
      <c r="Z75" s="28"/>
      <c r="AA75" s="28"/>
      <c r="AB75" s="28"/>
      <c r="AC75" s="28"/>
      <c r="AD75" s="23"/>
      <c r="AE75" s="23"/>
      <c r="AF75" s="23"/>
      <c r="AG75" s="23"/>
      <c r="AH75" s="23"/>
      <c r="AI75" s="23"/>
      <c r="AP75" s="24">
        <v>0.63480000000000003</v>
      </c>
      <c r="AQ75" s="24">
        <v>3.7030000000000003</v>
      </c>
      <c r="AR75" s="24">
        <v>2.9976666666666665</v>
      </c>
      <c r="AS75" s="24">
        <v>10.368399999999999</v>
      </c>
      <c r="AT75" s="24">
        <v>10.227333333333334</v>
      </c>
      <c r="AU75" s="24">
        <v>8.3476199999999992</v>
      </c>
      <c r="AV75" s="24">
        <v>23.699200000000001</v>
      </c>
      <c r="AW75" s="24">
        <v>24.757199999999997</v>
      </c>
      <c r="AX75" s="24">
        <v>25.571859999999997</v>
      </c>
      <c r="AY75" s="24">
        <v>25.067042857142855</v>
      </c>
      <c r="AZ75" s="24">
        <v>55.968200000000003</v>
      </c>
      <c r="BA75" s="24">
        <v>63.903199999999991</v>
      </c>
      <c r="BB75" s="24">
        <v>97.706299999999999</v>
      </c>
      <c r="BC75" s="24"/>
      <c r="BD75" s="24">
        <v>170.97280000000001</v>
      </c>
      <c r="BE75" s="24"/>
      <c r="BF75" s="24"/>
      <c r="BG75" s="24"/>
      <c r="BH75" s="24"/>
      <c r="BO75" s="3">
        <v>270</v>
      </c>
      <c r="BP75" s="3">
        <v>274</v>
      </c>
      <c r="BQ75" s="3">
        <v>173.8</v>
      </c>
      <c r="BR75" s="3">
        <v>187</v>
      </c>
      <c r="BS75" s="3">
        <v>217</v>
      </c>
      <c r="BV75" s="3">
        <v>78695.613280000005</v>
      </c>
      <c r="BW75" s="3">
        <v>18037.668249999999</v>
      </c>
      <c r="BX75" s="3">
        <v>16061.531929999999</v>
      </c>
      <c r="BY75" s="3">
        <v>5774.0015009999997</v>
      </c>
      <c r="BZ75" s="3">
        <v>5193.3601843333336</v>
      </c>
      <c r="CA75" s="3">
        <v>4700.4678893999999</v>
      </c>
      <c r="CB75" s="3">
        <v>1804.046994</v>
      </c>
      <c r="CC75" s="3">
        <v>1561.0038386666668</v>
      </c>
      <c r="CD75" s="3">
        <v>1255.5836088000001</v>
      </c>
      <c r="CE75" s="3">
        <v>793.71394007142851</v>
      </c>
      <c r="CF75" s="3">
        <v>342.3047325</v>
      </c>
      <c r="CG75" s="3">
        <v>241.85115793333333</v>
      </c>
      <c r="CH75" s="3">
        <v>27.731795044000002</v>
      </c>
      <c r="CJ75" s="3">
        <v>28.189004529999998</v>
      </c>
      <c r="CU75" s="3">
        <f t="shared" si="47"/>
        <v>-157391.22656000001</v>
      </c>
      <c r="CV75" s="3">
        <f t="shared" si="48"/>
        <v>-36075.336499999998</v>
      </c>
      <c r="CW75" s="3">
        <f t="shared" si="49"/>
        <v>-32123.063859999998</v>
      </c>
      <c r="CX75" s="3">
        <f t="shared" si="50"/>
        <v>-11548.003001999999</v>
      </c>
      <c r="CY75" s="3">
        <f t="shared" si="51"/>
        <v>-10386.720368666667</v>
      </c>
      <c r="CZ75" s="3">
        <f t="shared" si="52"/>
        <v>-9400.9357787999998</v>
      </c>
      <c r="DA75" s="3">
        <f t="shared" si="53"/>
        <v>-3608.0939880000001</v>
      </c>
      <c r="DB75" s="3">
        <f t="shared" si="54"/>
        <v>-3122.0076773333335</v>
      </c>
      <c r="DC75" s="3">
        <f t="shared" si="55"/>
        <v>-2511.1672176000002</v>
      </c>
      <c r="DD75" s="3">
        <f t="shared" si="56"/>
        <v>-1587.427880142857</v>
      </c>
      <c r="DE75" s="3">
        <f t="shared" si="57"/>
        <v>-684.609465</v>
      </c>
      <c r="DF75" s="3">
        <f t="shared" si="58"/>
        <v>-483.70231586666665</v>
      </c>
      <c r="DG75" s="3">
        <f t="shared" ref="DG75:DG122" si="63">-2*CH75</f>
        <v>-55.463590088000004</v>
      </c>
      <c r="DI75" s="3">
        <f t="shared" si="59"/>
        <v>-56.378009059999997</v>
      </c>
      <c r="DT75" s="3">
        <f t="shared" si="60"/>
        <v>-78695.613280000005</v>
      </c>
      <c r="DU75" s="3">
        <f t="shared" si="61"/>
        <v>-18037.668249999999</v>
      </c>
      <c r="DV75" s="3">
        <f t="shared" si="62"/>
        <v>-16061.531929999999</v>
      </c>
      <c r="DW75" s="3">
        <f t="shared" si="34"/>
        <v>-5774.0015009999997</v>
      </c>
      <c r="DX75" s="3">
        <f t="shared" si="35"/>
        <v>-5193.3601843333336</v>
      </c>
      <c r="DY75" s="3">
        <f t="shared" si="40"/>
        <v>-4700.4678893999999</v>
      </c>
      <c r="DZ75" s="3">
        <f t="shared" si="39"/>
        <v>-1804.046994</v>
      </c>
      <c r="EA75" s="3">
        <f t="shared" si="46"/>
        <v>-1561.0038386666668</v>
      </c>
      <c r="EB75" s="3">
        <f t="shared" si="33"/>
        <v>-1255.5836088000001</v>
      </c>
      <c r="EC75" s="3">
        <f t="shared" si="45"/>
        <v>-793.71394007142851</v>
      </c>
      <c r="ED75" s="3">
        <f t="shared" si="36"/>
        <v>-342.3047325</v>
      </c>
      <c r="EE75" s="3">
        <f t="shared" si="38"/>
        <v>-241.85115793333333</v>
      </c>
      <c r="EF75" s="3">
        <f t="shared" ref="EF75:EF99" si="64">-1*CH75</f>
        <v>-27.731795044000002</v>
      </c>
      <c r="EH75" s="3">
        <f t="shared" si="42"/>
        <v>-28.189004529999998</v>
      </c>
      <c r="ES75" s="3">
        <v>5.425554</v>
      </c>
      <c r="ET75" s="3">
        <v>13.887760000000002</v>
      </c>
      <c r="EV75" s="3">
        <v>20.956008000000001</v>
      </c>
      <c r="EW75" s="3">
        <v>45.187040000000003</v>
      </c>
      <c r="EX75" s="3">
        <v>66.795980000000014</v>
      </c>
      <c r="FC75" s="32">
        <v>170.97280000000001</v>
      </c>
      <c r="FD75" s="16"/>
    </row>
    <row r="76" spans="3:160" ht="16" x14ac:dyDescent="0.2">
      <c r="C76" s="7" t="s">
        <v>72</v>
      </c>
      <c r="D76" s="3">
        <v>72</v>
      </c>
      <c r="E76" s="3">
        <v>178.48599999999999</v>
      </c>
      <c r="F76" s="3">
        <v>2.0099999999999998</v>
      </c>
      <c r="G76" s="3">
        <v>1.3</v>
      </c>
      <c r="H76" s="3">
        <v>13.3</v>
      </c>
      <c r="I76" s="3">
        <v>2506</v>
      </c>
      <c r="J76" s="3">
        <v>4876</v>
      </c>
      <c r="K76" s="28">
        <v>71.231999999999999</v>
      </c>
      <c r="L76" s="28">
        <v>68.075999999999993</v>
      </c>
      <c r="M76" s="28">
        <v>66.324333333333342</v>
      </c>
      <c r="N76" s="28">
        <v>61.222000000000001</v>
      </c>
      <c r="O76" s="28">
        <v>58.258333333333333</v>
      </c>
      <c r="P76" s="28">
        <v>54.771599999999999</v>
      </c>
      <c r="Q76" s="28">
        <v>49.658999999999999</v>
      </c>
      <c r="R76" s="28">
        <v>45.538666666666664</v>
      </c>
      <c r="S76" s="28">
        <v>38.881799999999998</v>
      </c>
      <c r="T76" s="28">
        <v>27.171142857142854</v>
      </c>
      <c r="U76" s="28">
        <v>32.142000000000003</v>
      </c>
      <c r="V76" s="28">
        <v>26.823999999999998</v>
      </c>
      <c r="W76" s="28">
        <v>14.800800000000001</v>
      </c>
      <c r="X76" s="28"/>
      <c r="Y76" s="28">
        <v>14.473000000000001</v>
      </c>
      <c r="Z76" s="28"/>
      <c r="AA76" s="28"/>
      <c r="AB76" s="28"/>
      <c r="AC76" s="28"/>
      <c r="AD76" s="23"/>
      <c r="AE76" s="23"/>
      <c r="AF76" s="23"/>
      <c r="AG76" s="23"/>
      <c r="AH76" s="23"/>
      <c r="AI76" s="23"/>
      <c r="AP76" s="24">
        <v>0.63480000000000003</v>
      </c>
      <c r="AQ76" s="24">
        <v>3.5972</v>
      </c>
      <c r="AR76" s="24">
        <v>2.9447666666666668</v>
      </c>
      <c r="AS76" s="24">
        <v>10.1568</v>
      </c>
      <c r="AT76" s="24">
        <v>10.033366666666666</v>
      </c>
      <c r="AU76" s="24">
        <v>8.1889199999999995</v>
      </c>
      <c r="AV76" s="24">
        <v>23.223099999999999</v>
      </c>
      <c r="AW76" s="24">
        <v>24.281099999999999</v>
      </c>
      <c r="AX76" s="24">
        <v>25.042859999999997</v>
      </c>
      <c r="AY76" s="24">
        <v>24.273542857142861</v>
      </c>
      <c r="AZ76" s="24">
        <v>54.487000000000002</v>
      </c>
      <c r="BA76" s="24">
        <v>61.857733333333329</v>
      </c>
      <c r="BB76" s="24">
        <v>90.131020000000007</v>
      </c>
      <c r="BC76" s="24"/>
      <c r="BD76" s="24">
        <v>162.3501</v>
      </c>
      <c r="BE76" s="24"/>
      <c r="BF76" s="24"/>
      <c r="BG76" s="24"/>
      <c r="BH76" s="24"/>
      <c r="BO76" s="3">
        <v>264</v>
      </c>
      <c r="BP76" s="3">
        <v>263</v>
      </c>
      <c r="BQ76" s="3">
        <v>159</v>
      </c>
      <c r="BR76" s="3">
        <v>175</v>
      </c>
      <c r="BS76" s="3">
        <v>208</v>
      </c>
      <c r="BV76" s="3">
        <v>81359.681240000005</v>
      </c>
      <c r="BW76" s="3">
        <v>18702.609980000001</v>
      </c>
      <c r="BX76" s="3">
        <v>16594.642576666665</v>
      </c>
      <c r="BY76" s="3">
        <v>6001.9528959999998</v>
      </c>
      <c r="BZ76" s="3">
        <v>5385.8717456666664</v>
      </c>
      <c r="CA76" s="3">
        <v>4868.9131586000003</v>
      </c>
      <c r="CB76" s="3">
        <v>1885.418011</v>
      </c>
      <c r="CC76" s="3">
        <v>1630.1097236666667</v>
      </c>
      <c r="CD76" s="3">
        <v>1315.5259549999998</v>
      </c>
      <c r="CE76" s="3">
        <v>862.10102632857149</v>
      </c>
      <c r="CF76" s="3">
        <v>369.65892170000001</v>
      </c>
      <c r="CG76" s="3">
        <v>264.35357823333334</v>
      </c>
      <c r="CH76" s="3">
        <v>90.069847109999998</v>
      </c>
      <c r="CJ76" s="3">
        <v>32.373089499999999</v>
      </c>
      <c r="CU76" s="3">
        <f t="shared" si="47"/>
        <v>-162719.36248000001</v>
      </c>
      <c r="CV76" s="3">
        <f t="shared" si="48"/>
        <v>-37405.219960000002</v>
      </c>
      <c r="CW76" s="3">
        <f t="shared" si="49"/>
        <v>-33189.285153333331</v>
      </c>
      <c r="CX76" s="3">
        <f t="shared" si="50"/>
        <v>-12003.905792</v>
      </c>
      <c r="CY76" s="3">
        <f t="shared" si="51"/>
        <v>-10771.743491333333</v>
      </c>
      <c r="CZ76" s="3">
        <f t="shared" si="52"/>
        <v>-9737.8263172000006</v>
      </c>
      <c r="DA76" s="3">
        <f t="shared" si="53"/>
        <v>-3770.836022</v>
      </c>
      <c r="DB76" s="3">
        <f t="shared" si="54"/>
        <v>-3260.2194473333334</v>
      </c>
      <c r="DC76" s="3">
        <f t="shared" si="55"/>
        <v>-2631.0519099999997</v>
      </c>
      <c r="DD76" s="3">
        <f t="shared" si="56"/>
        <v>-1724.202052657143</v>
      </c>
      <c r="DE76" s="3">
        <f t="shared" si="57"/>
        <v>-739.31784340000002</v>
      </c>
      <c r="DF76" s="3">
        <f t="shared" si="58"/>
        <v>-528.70715646666667</v>
      </c>
      <c r="DG76" s="3">
        <f t="shared" si="63"/>
        <v>-180.13969422</v>
      </c>
      <c r="DI76" s="3">
        <f t="shared" si="59"/>
        <v>-64.746178999999998</v>
      </c>
      <c r="DT76" s="3">
        <f t="shared" si="60"/>
        <v>-81359.681240000005</v>
      </c>
      <c r="DU76" s="3">
        <f t="shared" si="61"/>
        <v>-18702.609980000001</v>
      </c>
      <c r="DV76" s="3">
        <f t="shared" si="62"/>
        <v>-16594.642576666665</v>
      </c>
      <c r="DW76" s="3">
        <f t="shared" si="34"/>
        <v>-6001.9528959999998</v>
      </c>
      <c r="DX76" s="3">
        <f t="shared" si="35"/>
        <v>-5385.8717456666664</v>
      </c>
      <c r="DY76" s="3">
        <f t="shared" si="40"/>
        <v>-4868.9131586000003</v>
      </c>
      <c r="DZ76" s="3">
        <f t="shared" si="39"/>
        <v>-1885.418011</v>
      </c>
      <c r="EA76" s="3">
        <f t="shared" si="46"/>
        <v>-1630.1097236666667</v>
      </c>
      <c r="EB76" s="3">
        <f t="shared" si="33"/>
        <v>-1315.5259549999998</v>
      </c>
      <c r="EC76" s="3">
        <f t="shared" si="45"/>
        <v>-862.10102632857149</v>
      </c>
      <c r="ED76" s="3">
        <f t="shared" si="36"/>
        <v>-369.65892170000001</v>
      </c>
      <c r="EE76" s="3">
        <f t="shared" si="38"/>
        <v>-264.35357823333334</v>
      </c>
      <c r="EF76" s="3">
        <f t="shared" si="64"/>
        <v>-90.069847109999998</v>
      </c>
      <c r="EH76" s="3">
        <f t="shared" si="42"/>
        <v>-32.373089499999999</v>
      </c>
      <c r="ES76" s="3">
        <v>6.7780560000000012</v>
      </c>
      <c r="ET76" s="3">
        <v>14.924160000000001</v>
      </c>
      <c r="EV76" s="3">
        <v>23.319000000000003</v>
      </c>
      <c r="EW76" s="3">
        <v>33.268440000000005</v>
      </c>
      <c r="EX76" s="3">
        <v>68.360944000000003</v>
      </c>
      <c r="FC76" s="32">
        <v>162.3501</v>
      </c>
      <c r="FD76" s="16"/>
    </row>
    <row r="77" spans="3:160" ht="16" x14ac:dyDescent="0.2">
      <c r="C77" s="7" t="s">
        <v>73</v>
      </c>
      <c r="D77" s="3">
        <v>73</v>
      </c>
      <c r="E77" s="3">
        <v>180.94788</v>
      </c>
      <c r="F77" s="3">
        <v>2.3199999999999998</v>
      </c>
      <c r="G77" s="3">
        <v>1.5</v>
      </c>
      <c r="H77" s="3">
        <v>16.399999999999999</v>
      </c>
      <c r="I77" s="3">
        <v>3290</v>
      </c>
      <c r="J77" s="3">
        <v>5731</v>
      </c>
      <c r="K77" s="28">
        <v>72.23</v>
      </c>
      <c r="L77" s="28">
        <v>69.087000000000003</v>
      </c>
      <c r="M77" s="28">
        <v>67.315666666666672</v>
      </c>
      <c r="N77" s="28">
        <v>62.238</v>
      </c>
      <c r="O77" s="28">
        <v>59.236666666666672</v>
      </c>
      <c r="P77" s="28">
        <v>55.729600000000005</v>
      </c>
      <c r="Q77" s="28">
        <v>50.633000000000003</v>
      </c>
      <c r="R77" s="28">
        <v>46.461333333333336</v>
      </c>
      <c r="S77" s="28">
        <v>39.799999999999997</v>
      </c>
      <c r="T77" s="28">
        <v>28.621142857142861</v>
      </c>
      <c r="U77" s="28">
        <v>33.164000000000001</v>
      </c>
      <c r="V77" s="28">
        <v>27.817666666666668</v>
      </c>
      <c r="W77" s="28">
        <v>16.254200000000001</v>
      </c>
      <c r="X77" s="28"/>
      <c r="Y77" s="28">
        <v>15.109</v>
      </c>
      <c r="Z77" s="28"/>
      <c r="AA77" s="28"/>
      <c r="AB77" s="28"/>
      <c r="AC77" s="28"/>
      <c r="AD77" s="23"/>
      <c r="AE77" s="23"/>
      <c r="AF77" s="23"/>
      <c r="AG77" s="23"/>
      <c r="AH77" s="23"/>
      <c r="AI77" s="23"/>
      <c r="AP77" s="24">
        <v>0.63480000000000003</v>
      </c>
      <c r="AQ77" s="24">
        <v>3.5443000000000002</v>
      </c>
      <c r="AR77" s="24">
        <v>2.8918666666666666</v>
      </c>
      <c r="AS77" s="24">
        <v>9.9980999999999991</v>
      </c>
      <c r="AT77" s="24">
        <v>9.874666666666668</v>
      </c>
      <c r="AU77" s="24">
        <v>8.0619600000000009</v>
      </c>
      <c r="AV77" s="24">
        <v>22.747</v>
      </c>
      <c r="AW77" s="24">
        <v>23.787366666666667</v>
      </c>
      <c r="AX77" s="24">
        <v>24.5456</v>
      </c>
      <c r="AY77" s="24">
        <v>23.56317142857143</v>
      </c>
      <c r="AZ77" s="24">
        <v>52.952899999999993</v>
      </c>
      <c r="BA77" s="24">
        <v>59.935699999999997</v>
      </c>
      <c r="BB77" s="24">
        <v>83.984040000000007</v>
      </c>
      <c r="BC77" s="24"/>
      <c r="BD77" s="24">
        <v>155.1028</v>
      </c>
      <c r="BE77" s="24"/>
      <c r="BF77" s="24"/>
      <c r="BG77" s="24"/>
      <c r="BH77" s="24"/>
      <c r="BO77" s="3">
        <v>258</v>
      </c>
      <c r="BP77" s="3">
        <v>252.99999999999997</v>
      </c>
      <c r="BQ77" s="3">
        <v>146</v>
      </c>
      <c r="BR77" s="3">
        <v>170</v>
      </c>
      <c r="BS77" s="3">
        <v>200</v>
      </c>
      <c r="BV77" s="3">
        <v>84090.229319999999</v>
      </c>
      <c r="BW77" s="3">
        <v>19386.342260000001</v>
      </c>
      <c r="BX77" s="3">
        <v>17139.148173333335</v>
      </c>
      <c r="BY77" s="3">
        <v>6236.186584</v>
      </c>
      <c r="BZ77" s="3">
        <v>5582.6724560000002</v>
      </c>
      <c r="CA77" s="3">
        <v>5040.3585365999998</v>
      </c>
      <c r="CB77" s="3">
        <v>1970.069551</v>
      </c>
      <c r="CC77" s="3">
        <v>1701.9747073333335</v>
      </c>
      <c r="CD77" s="3">
        <v>1378.0617751999998</v>
      </c>
      <c r="CE77" s="3">
        <v>930.86174821428563</v>
      </c>
      <c r="CF77" s="3">
        <v>398.48108339999999</v>
      </c>
      <c r="CG77" s="3">
        <v>287.8855258333333</v>
      </c>
      <c r="CH77" s="3">
        <v>109.84125925999999</v>
      </c>
      <c r="CJ77" s="3">
        <v>36.363328729999999</v>
      </c>
      <c r="CU77" s="3">
        <f t="shared" si="47"/>
        <v>-168180.45864</v>
      </c>
      <c r="CV77" s="3">
        <f t="shared" si="48"/>
        <v>-38772.684520000003</v>
      </c>
      <c r="CW77" s="3">
        <f t="shared" si="49"/>
        <v>-34278.29634666667</v>
      </c>
      <c r="CX77" s="3">
        <f t="shared" si="50"/>
        <v>-12472.373168</v>
      </c>
      <c r="CY77" s="3">
        <f t="shared" si="51"/>
        <v>-11165.344912</v>
      </c>
      <c r="CZ77" s="3">
        <f t="shared" si="52"/>
        <v>-10080.7170732</v>
      </c>
      <c r="DA77" s="3">
        <f t="shared" si="53"/>
        <v>-3940.1391020000001</v>
      </c>
      <c r="DB77" s="3">
        <f t="shared" si="54"/>
        <v>-3403.9494146666671</v>
      </c>
      <c r="DC77" s="3">
        <f t="shared" si="55"/>
        <v>-2756.1235503999997</v>
      </c>
      <c r="DD77" s="3">
        <f t="shared" si="56"/>
        <v>-1861.7234964285713</v>
      </c>
      <c r="DE77" s="3">
        <f t="shared" si="57"/>
        <v>-796.96216679999998</v>
      </c>
      <c r="DF77" s="3">
        <f t="shared" si="58"/>
        <v>-575.77105166666661</v>
      </c>
      <c r="DG77" s="3">
        <f t="shared" si="63"/>
        <v>-219.68251851999997</v>
      </c>
      <c r="DI77" s="3">
        <f t="shared" si="59"/>
        <v>-72.726657459999998</v>
      </c>
      <c r="DT77" s="3">
        <f t="shared" si="60"/>
        <v>-84090.229319999999</v>
      </c>
      <c r="DU77" s="3">
        <f t="shared" si="61"/>
        <v>-19386.342260000001</v>
      </c>
      <c r="DV77" s="3">
        <f t="shared" si="62"/>
        <v>-17139.148173333335</v>
      </c>
      <c r="DW77" s="3">
        <f t="shared" si="34"/>
        <v>-6236.186584</v>
      </c>
      <c r="DX77" s="3">
        <f t="shared" si="35"/>
        <v>-5582.6724560000002</v>
      </c>
      <c r="DY77" s="3">
        <f t="shared" si="40"/>
        <v>-5040.3585365999998</v>
      </c>
      <c r="DZ77" s="3">
        <f t="shared" si="39"/>
        <v>-1970.069551</v>
      </c>
      <c r="EA77" s="3">
        <f t="shared" si="46"/>
        <v>-1701.9747073333335</v>
      </c>
      <c r="EB77" s="3">
        <f t="shared" ref="EB77:EB99" si="65">-1*CD77</f>
        <v>-1378.0617751999998</v>
      </c>
      <c r="EC77" s="3">
        <f t="shared" si="45"/>
        <v>-930.86174821428563</v>
      </c>
      <c r="ED77" s="3">
        <f t="shared" si="36"/>
        <v>-398.48108339999999</v>
      </c>
      <c r="EE77" s="3">
        <f t="shared" si="38"/>
        <v>-287.8855258333333</v>
      </c>
      <c r="EF77" s="3">
        <f t="shared" si="64"/>
        <v>-109.84125925999999</v>
      </c>
      <c r="EH77" s="3">
        <f t="shared" si="42"/>
        <v>-36.363328729999999</v>
      </c>
      <c r="ES77" s="3">
        <v>7.887004000000001</v>
      </c>
      <c r="FC77" s="32">
        <v>155.1028</v>
      </c>
      <c r="FD77" s="16"/>
    </row>
    <row r="78" spans="3:160" ht="16" x14ac:dyDescent="0.2">
      <c r="C78" s="7" t="s">
        <v>74</v>
      </c>
      <c r="D78" s="3">
        <v>74</v>
      </c>
      <c r="E78" s="3">
        <v>183.84</v>
      </c>
      <c r="F78" s="3">
        <v>2.42</v>
      </c>
      <c r="G78" s="3">
        <v>2.36</v>
      </c>
      <c r="H78" s="3">
        <v>19.3</v>
      </c>
      <c r="I78" s="3">
        <v>3695</v>
      </c>
      <c r="J78" s="3">
        <v>5828</v>
      </c>
      <c r="K78" s="28">
        <v>73.227000000000004</v>
      </c>
      <c r="L78" s="28">
        <v>70.099000000000004</v>
      </c>
      <c r="M78" s="28">
        <v>68.306666666666658</v>
      </c>
      <c r="N78" s="28">
        <v>63.256</v>
      </c>
      <c r="O78" s="28">
        <v>60.215666666666664</v>
      </c>
      <c r="P78" s="28">
        <v>56.687800000000003</v>
      </c>
      <c r="Q78" s="28">
        <v>51.616999999999997</v>
      </c>
      <c r="R78" s="28">
        <v>47.394333333333329</v>
      </c>
      <c r="S78" s="28">
        <v>40.731400000000001</v>
      </c>
      <c r="T78" s="28">
        <v>29.993571428571425</v>
      </c>
      <c r="U78" s="28">
        <v>34.185000000000002</v>
      </c>
      <c r="V78" s="28">
        <v>28.798333333333332</v>
      </c>
      <c r="W78" s="28">
        <v>17.542400000000001</v>
      </c>
      <c r="X78" s="28"/>
      <c r="Y78" s="28">
        <v>15.691000000000001</v>
      </c>
      <c r="Z78" s="28"/>
      <c r="AA78" s="28"/>
      <c r="AB78" s="28"/>
      <c r="AC78" s="28"/>
      <c r="AD78" s="23"/>
      <c r="AE78" s="23"/>
      <c r="AF78" s="23"/>
      <c r="AG78" s="23"/>
      <c r="AH78" s="23"/>
      <c r="AI78" s="23"/>
      <c r="AP78" s="24">
        <v>0.58189999999999997</v>
      </c>
      <c r="AQ78" s="24">
        <v>3.4914000000000001</v>
      </c>
      <c r="AR78" s="24">
        <v>2.8389666666666669</v>
      </c>
      <c r="AS78" s="24">
        <v>9.8393999999999995</v>
      </c>
      <c r="AT78" s="24">
        <v>9.6983333333333341</v>
      </c>
      <c r="AU78" s="24">
        <v>7.9032599999999986</v>
      </c>
      <c r="AV78" s="24">
        <v>22.323799999999999</v>
      </c>
      <c r="AW78" s="24">
        <v>23.364166666666666</v>
      </c>
      <c r="AX78" s="24">
        <v>24.037760000000002</v>
      </c>
      <c r="AY78" s="24">
        <v>22.867914285714281</v>
      </c>
      <c r="AZ78" s="24">
        <v>51.5246</v>
      </c>
      <c r="BA78" s="24">
        <v>58.154733333333333</v>
      </c>
      <c r="BB78" s="24">
        <v>79.106659999999991</v>
      </c>
      <c r="BC78" s="24"/>
      <c r="BD78" s="24">
        <v>148.86060000000001</v>
      </c>
      <c r="BE78" s="24"/>
      <c r="BF78" s="24"/>
      <c r="BG78" s="24"/>
      <c r="BH78" s="24"/>
      <c r="BO78" s="3">
        <v>252.99999999999997</v>
      </c>
      <c r="BP78" s="3">
        <v>257</v>
      </c>
      <c r="BQ78" s="3">
        <v>139</v>
      </c>
      <c r="BR78" s="3">
        <v>162</v>
      </c>
      <c r="BS78" s="3">
        <v>193</v>
      </c>
      <c r="BV78" s="3">
        <v>86889.973230000003</v>
      </c>
      <c r="BW78" s="3">
        <v>20089.61449</v>
      </c>
      <c r="BX78" s="3">
        <v>17695.291716666667</v>
      </c>
      <c r="BY78" s="3">
        <v>6476.9316829999998</v>
      </c>
      <c r="BZ78" s="3">
        <v>5783.8644483333337</v>
      </c>
      <c r="CA78" s="3">
        <v>5214.8334672000001</v>
      </c>
      <c r="CB78" s="3">
        <v>2057.9941859999999</v>
      </c>
      <c r="CC78" s="3">
        <v>1776.5167650000001</v>
      </c>
      <c r="CD78" s="3">
        <v>1443.0478552</v>
      </c>
      <c r="CE78" s="3">
        <v>1000.2335249142858</v>
      </c>
      <c r="CF78" s="3">
        <v>428.5521933</v>
      </c>
      <c r="CG78" s="3">
        <v>312.23120993333333</v>
      </c>
      <c r="CH78" s="3">
        <v>129.29238368</v>
      </c>
      <c r="CJ78" s="3">
        <v>40.171082980000001</v>
      </c>
      <c r="CU78" s="3">
        <f t="shared" si="47"/>
        <v>-173779.94646000001</v>
      </c>
      <c r="CV78" s="3">
        <f t="shared" si="48"/>
        <v>-40179.22898</v>
      </c>
      <c r="CW78" s="3">
        <f t="shared" si="49"/>
        <v>-35390.583433333333</v>
      </c>
      <c r="CX78" s="3">
        <f t="shared" si="50"/>
        <v>-12953.863366</v>
      </c>
      <c r="CY78" s="3">
        <f t="shared" si="51"/>
        <v>-11567.728896666667</v>
      </c>
      <c r="CZ78" s="3">
        <f t="shared" si="52"/>
        <v>-10429.6669344</v>
      </c>
      <c r="DA78" s="3">
        <f t="shared" si="53"/>
        <v>-4115.9883719999998</v>
      </c>
      <c r="DB78" s="3">
        <f t="shared" si="54"/>
        <v>-3553.0335300000002</v>
      </c>
      <c r="DC78" s="3">
        <f t="shared" si="55"/>
        <v>-2886.0957103999999</v>
      </c>
      <c r="DD78" s="3">
        <f t="shared" si="56"/>
        <v>-2000.4670498285716</v>
      </c>
      <c r="DE78" s="3">
        <f t="shared" si="57"/>
        <v>-857.1043866</v>
      </c>
      <c r="DF78" s="3">
        <f t="shared" si="58"/>
        <v>-624.46241986666666</v>
      </c>
      <c r="DG78" s="3">
        <f t="shared" si="63"/>
        <v>-258.58476736</v>
      </c>
      <c r="DI78" s="3">
        <f t="shared" si="59"/>
        <v>-80.342165960000003</v>
      </c>
      <c r="DT78" s="3">
        <f t="shared" si="60"/>
        <v>-86889.973230000003</v>
      </c>
      <c r="DU78" s="3">
        <f t="shared" si="61"/>
        <v>-20089.61449</v>
      </c>
      <c r="DV78" s="3">
        <f t="shared" si="62"/>
        <v>-17695.291716666667</v>
      </c>
      <c r="DW78" s="3">
        <f t="shared" si="34"/>
        <v>-6476.9316829999998</v>
      </c>
      <c r="DX78" s="3">
        <f t="shared" si="35"/>
        <v>-5783.8644483333337</v>
      </c>
      <c r="DY78" s="3">
        <f t="shared" si="40"/>
        <v>-5214.8334672000001</v>
      </c>
      <c r="DZ78" s="3">
        <f t="shared" si="39"/>
        <v>-2057.9941859999999</v>
      </c>
      <c r="EA78" s="3">
        <f t="shared" si="46"/>
        <v>-1776.5167650000001</v>
      </c>
      <c r="EB78" s="3">
        <f t="shared" si="65"/>
        <v>-1443.0478552</v>
      </c>
      <c r="EC78" s="3">
        <f t="shared" si="45"/>
        <v>-1000.2335249142858</v>
      </c>
      <c r="ED78" s="3">
        <f t="shared" si="36"/>
        <v>-428.5521933</v>
      </c>
      <c r="EE78" s="3">
        <f t="shared" si="38"/>
        <v>-312.23120993333333</v>
      </c>
      <c r="EF78" s="3">
        <f t="shared" si="64"/>
        <v>-129.29238368</v>
      </c>
      <c r="EH78" s="3">
        <f t="shared" si="42"/>
        <v>-40.171082980000001</v>
      </c>
      <c r="ES78" s="3">
        <v>7.9802800000000005</v>
      </c>
      <c r="FC78" s="32">
        <v>148.86060000000001</v>
      </c>
      <c r="FD78" s="16"/>
    </row>
    <row r="79" spans="3:160" ht="16" x14ac:dyDescent="0.2">
      <c r="C79" s="7" t="s">
        <v>75</v>
      </c>
      <c r="D79" s="3">
        <v>75</v>
      </c>
      <c r="E79" s="3">
        <v>186.20699999999999</v>
      </c>
      <c r="F79" s="3">
        <v>2.59</v>
      </c>
      <c r="G79" s="3">
        <v>1.9</v>
      </c>
      <c r="H79" s="3">
        <v>20.8</v>
      </c>
      <c r="I79" s="3">
        <v>3459</v>
      </c>
      <c r="J79" s="3">
        <v>5869</v>
      </c>
      <c r="K79" s="28">
        <v>74.224999999999994</v>
      </c>
      <c r="L79" s="28">
        <v>71.111000000000004</v>
      </c>
      <c r="M79" s="28">
        <v>69.297666666666672</v>
      </c>
      <c r="N79" s="28">
        <v>64.275000000000006</v>
      </c>
      <c r="O79" s="28">
        <v>61.19466666666667</v>
      </c>
      <c r="P79" s="28">
        <v>57.645600000000002</v>
      </c>
      <c r="Q79" s="28">
        <v>52.61</v>
      </c>
      <c r="R79" s="28">
        <v>48.335333333333331</v>
      </c>
      <c r="S79" s="28">
        <v>41.6708</v>
      </c>
      <c r="T79" s="28">
        <v>31.311571428571426</v>
      </c>
      <c r="U79" s="28">
        <v>35.209000000000003</v>
      </c>
      <c r="V79" s="28">
        <v>29.779666666666667</v>
      </c>
      <c r="W79" s="28">
        <v>18.750600000000002</v>
      </c>
      <c r="X79" s="28"/>
      <c r="Y79" s="28">
        <v>16.244</v>
      </c>
      <c r="Z79" s="28"/>
      <c r="AA79" s="28"/>
      <c r="AB79" s="28"/>
      <c r="AC79" s="28"/>
      <c r="AD79" s="23"/>
      <c r="AE79" s="23"/>
      <c r="AF79" s="23"/>
      <c r="AG79" s="23"/>
      <c r="AH79" s="23"/>
      <c r="AI79" s="23"/>
      <c r="AP79" s="24">
        <v>0.58189999999999997</v>
      </c>
      <c r="AQ79" s="24">
        <v>3.4384999999999999</v>
      </c>
      <c r="AR79" s="24">
        <v>2.7860666666666667</v>
      </c>
      <c r="AS79" s="24">
        <v>9.6277999999999988</v>
      </c>
      <c r="AT79" s="24">
        <v>9.5396333333333327</v>
      </c>
      <c r="AU79" s="24">
        <v>7.7974599999999983</v>
      </c>
      <c r="AV79" s="24">
        <v>21.900599999999997</v>
      </c>
      <c r="AW79" s="24">
        <v>22.923333333333332</v>
      </c>
      <c r="AX79" s="24">
        <v>23.561659999999996</v>
      </c>
      <c r="AY79" s="24">
        <v>22.210442857142855</v>
      </c>
      <c r="AZ79" s="24">
        <v>50.202099999999994</v>
      </c>
      <c r="BA79" s="24">
        <v>56.461933333333327</v>
      </c>
      <c r="BB79" s="24">
        <v>75.117999999999995</v>
      </c>
      <c r="BC79" s="24"/>
      <c r="BD79" s="24">
        <v>143.41189999999997</v>
      </c>
      <c r="BE79" s="24"/>
      <c r="BF79" s="24"/>
      <c r="BG79" s="24"/>
      <c r="BH79" s="24"/>
      <c r="BO79" s="3">
        <v>249.00000000000003</v>
      </c>
      <c r="BP79" s="3">
        <v>249</v>
      </c>
      <c r="BQ79" s="3">
        <v>137</v>
      </c>
      <c r="BR79" s="3">
        <v>151</v>
      </c>
      <c r="BS79" s="3">
        <v>188</v>
      </c>
      <c r="BV79" s="3">
        <v>89763.108959999998</v>
      </c>
      <c r="BW79" s="3">
        <v>20813.467229999998</v>
      </c>
      <c r="BX79" s="3">
        <v>18263.370899999998</v>
      </c>
      <c r="BY79" s="3">
        <v>6724.4891520000001</v>
      </c>
      <c r="BZ79" s="3">
        <v>5989.5228263333338</v>
      </c>
      <c r="CA79" s="3">
        <v>5392.3650532000001</v>
      </c>
      <c r="CB79" s="3">
        <v>2149.1918599999999</v>
      </c>
      <c r="CC79" s="3">
        <v>1853.6340263333332</v>
      </c>
      <c r="CD79" s="3">
        <v>1510.2519404</v>
      </c>
      <c r="CE79" s="3">
        <v>1070.4996892857143</v>
      </c>
      <c r="CF79" s="3">
        <v>460.06104379999999</v>
      </c>
      <c r="CG79" s="3">
        <v>337.90868806666663</v>
      </c>
      <c r="CH79" s="3">
        <v>149.00502855999997</v>
      </c>
      <c r="CJ79" s="3">
        <v>43.958657270000003</v>
      </c>
      <c r="CU79" s="3">
        <f t="shared" si="47"/>
        <v>-179526.21792</v>
      </c>
      <c r="CV79" s="3">
        <f t="shared" si="48"/>
        <v>-41626.934459999997</v>
      </c>
      <c r="CW79" s="3">
        <f t="shared" si="49"/>
        <v>-36526.741799999996</v>
      </c>
      <c r="CX79" s="3">
        <f t="shared" si="50"/>
        <v>-13448.978304</v>
      </c>
      <c r="CY79" s="3">
        <f t="shared" si="51"/>
        <v>-11979.045652666668</v>
      </c>
      <c r="CZ79" s="3">
        <f t="shared" si="52"/>
        <v>-10784.7301064</v>
      </c>
      <c r="DA79" s="3">
        <f t="shared" si="53"/>
        <v>-4298.3837199999998</v>
      </c>
      <c r="DB79" s="3">
        <f t="shared" si="54"/>
        <v>-3707.2680526666663</v>
      </c>
      <c r="DC79" s="3">
        <f t="shared" si="55"/>
        <v>-3020.5038807999999</v>
      </c>
      <c r="DD79" s="3">
        <f t="shared" si="56"/>
        <v>-2140.9993785714287</v>
      </c>
      <c r="DE79" s="3">
        <f t="shared" si="57"/>
        <v>-920.12208759999999</v>
      </c>
      <c r="DF79" s="3">
        <f t="shared" si="58"/>
        <v>-675.81737613333325</v>
      </c>
      <c r="DG79" s="3">
        <f t="shared" si="63"/>
        <v>-298.01005711999994</v>
      </c>
      <c r="DI79" s="3">
        <f t="shared" si="59"/>
        <v>-87.917314540000007</v>
      </c>
      <c r="DT79" s="3">
        <f t="shared" si="60"/>
        <v>-89763.108959999998</v>
      </c>
      <c r="DU79" s="3">
        <f t="shared" si="61"/>
        <v>-20813.467229999998</v>
      </c>
      <c r="DV79" s="3">
        <f t="shared" si="62"/>
        <v>-18263.370899999998</v>
      </c>
      <c r="DW79" s="3">
        <f t="shared" ref="DW79:DW99" si="66">-1*BY79</f>
        <v>-6724.4891520000001</v>
      </c>
      <c r="DX79" s="3">
        <f t="shared" si="35"/>
        <v>-5989.5228263333338</v>
      </c>
      <c r="DY79" s="3">
        <f t="shared" si="40"/>
        <v>-5392.3650532000001</v>
      </c>
      <c r="DZ79" s="3">
        <f t="shared" si="39"/>
        <v>-2149.1918599999999</v>
      </c>
      <c r="EA79" s="3">
        <f t="shared" si="46"/>
        <v>-1853.6340263333332</v>
      </c>
      <c r="EB79" s="3">
        <f t="shared" si="65"/>
        <v>-1510.2519404</v>
      </c>
      <c r="EC79" s="3">
        <f t="shared" si="45"/>
        <v>-1070.4996892857143</v>
      </c>
      <c r="ED79" s="3">
        <f t="shared" si="36"/>
        <v>-460.06104379999999</v>
      </c>
      <c r="EE79" s="3">
        <f t="shared" si="38"/>
        <v>-337.90868806666663</v>
      </c>
      <c r="EF79" s="3">
        <f t="shared" si="64"/>
        <v>-149.00502855999997</v>
      </c>
      <c r="EH79" s="3">
        <f t="shared" si="42"/>
        <v>-43.958657270000003</v>
      </c>
      <c r="ES79" s="3">
        <v>7.876640000000001</v>
      </c>
      <c r="FC79" s="32">
        <v>143.41189999999997</v>
      </c>
      <c r="FD79" s="16"/>
    </row>
    <row r="80" spans="3:160" ht="16" x14ac:dyDescent="0.2">
      <c r="C80" s="7" t="s">
        <v>76</v>
      </c>
      <c r="D80" s="3">
        <v>76</v>
      </c>
      <c r="E80" s="3">
        <v>190.23</v>
      </c>
      <c r="F80" s="3">
        <v>2.72</v>
      </c>
      <c r="G80" s="3">
        <v>2.2000000000000002</v>
      </c>
      <c r="H80" s="3">
        <v>22.57</v>
      </c>
      <c r="I80" s="3">
        <v>3306</v>
      </c>
      <c r="J80" s="3">
        <v>5285</v>
      </c>
      <c r="K80" s="28">
        <v>75.221999999999994</v>
      </c>
      <c r="L80" s="28">
        <v>72.123000000000005</v>
      </c>
      <c r="M80" s="28">
        <v>70.288666666666657</v>
      </c>
      <c r="N80" s="28">
        <v>65.296000000000006</v>
      </c>
      <c r="O80" s="28">
        <v>62.175666666666665</v>
      </c>
      <c r="P80" s="28">
        <v>58.602999999999994</v>
      </c>
      <c r="Q80" s="28">
        <v>53.61</v>
      </c>
      <c r="R80" s="28">
        <v>49.283999999999999</v>
      </c>
      <c r="S80" s="28">
        <v>42.611800000000002</v>
      </c>
      <c r="T80" s="28">
        <v>32.582857142857144</v>
      </c>
      <c r="U80" s="28">
        <v>36.234000000000002</v>
      </c>
      <c r="V80" s="28">
        <v>30.751666666666665</v>
      </c>
      <c r="W80" s="28">
        <v>19.636000000000003</v>
      </c>
      <c r="X80" s="28"/>
      <c r="Y80" s="28">
        <v>16.843</v>
      </c>
      <c r="Z80" s="28"/>
      <c r="AA80" s="28"/>
      <c r="AB80" s="28"/>
      <c r="AC80" s="28"/>
      <c r="AD80" s="23"/>
      <c r="AE80" s="23"/>
      <c r="AF80" s="23"/>
      <c r="AG80" s="23"/>
      <c r="AH80" s="23"/>
      <c r="AI80" s="23"/>
      <c r="AP80" s="24">
        <v>0.58189999999999997</v>
      </c>
      <c r="AQ80" s="24">
        <v>3.3856000000000002</v>
      </c>
      <c r="AR80" s="24">
        <v>2.7331666666666665</v>
      </c>
      <c r="AS80" s="24">
        <v>9.4690999999999992</v>
      </c>
      <c r="AT80" s="24">
        <v>9.3809333333333331</v>
      </c>
      <c r="AU80" s="24">
        <v>7.6387599999999996</v>
      </c>
      <c r="AV80" s="24">
        <v>21.477399999999999</v>
      </c>
      <c r="AW80" s="24">
        <v>22.500133333333334</v>
      </c>
      <c r="AX80" s="24">
        <v>23.085559999999997</v>
      </c>
      <c r="AY80" s="24">
        <v>21.628542857142858</v>
      </c>
      <c r="AZ80" s="24">
        <v>48.879600000000003</v>
      </c>
      <c r="BA80" s="24">
        <v>54.857300000000002</v>
      </c>
      <c r="BB80" s="24">
        <v>71.795879999999983</v>
      </c>
      <c r="BC80" s="24"/>
      <c r="BD80" s="24">
        <v>138.06899999999999</v>
      </c>
      <c r="BE80" s="24"/>
      <c r="BF80" s="24"/>
      <c r="BG80" s="24"/>
      <c r="BH80" s="24"/>
      <c r="BO80" s="3">
        <v>244</v>
      </c>
      <c r="BP80" s="3">
        <v>248</v>
      </c>
      <c r="BQ80" s="3">
        <v>135</v>
      </c>
      <c r="BR80" s="3">
        <v>144</v>
      </c>
      <c r="BS80" s="3">
        <v>185</v>
      </c>
      <c r="BV80" s="3">
        <v>92705.448690000005</v>
      </c>
      <c r="BW80" s="3">
        <v>21557.526330000001</v>
      </c>
      <c r="BX80" s="3">
        <v>18843.561140000002</v>
      </c>
      <c r="BY80" s="3">
        <v>6978.8285150000002</v>
      </c>
      <c r="BZ80" s="3">
        <v>6199.8011536666663</v>
      </c>
      <c r="CA80" s="3">
        <v>5572.9714705999995</v>
      </c>
      <c r="CB80" s="3">
        <v>2243.6894040000002</v>
      </c>
      <c r="CC80" s="3">
        <v>1933.3716983333334</v>
      </c>
      <c r="CD80" s="3">
        <v>1579.3208606000001</v>
      </c>
      <c r="CE80" s="3">
        <v>1141.6898477142856</v>
      </c>
      <c r="CF80" s="3">
        <v>492.85432600000001</v>
      </c>
      <c r="CG80" s="3">
        <v>364.23578360000005</v>
      </c>
      <c r="CH80" s="3">
        <v>166.8783569</v>
      </c>
      <c r="CJ80" s="3">
        <v>48.247824440000002</v>
      </c>
      <c r="CU80" s="3">
        <f t="shared" si="47"/>
        <v>-185410.89738000001</v>
      </c>
      <c r="CV80" s="3">
        <f t="shared" si="48"/>
        <v>-43115.052660000001</v>
      </c>
      <c r="CW80" s="3">
        <f t="shared" si="49"/>
        <v>-37687.122280000003</v>
      </c>
      <c r="CX80" s="3">
        <f t="shared" si="50"/>
        <v>-13957.65703</v>
      </c>
      <c r="CY80" s="3">
        <f t="shared" si="51"/>
        <v>-12399.602307333333</v>
      </c>
      <c r="CZ80" s="3">
        <f t="shared" si="52"/>
        <v>-11145.942941199999</v>
      </c>
      <c r="DA80" s="3">
        <f t="shared" si="53"/>
        <v>-4487.3788080000004</v>
      </c>
      <c r="DB80" s="3">
        <f t="shared" si="54"/>
        <v>-3866.7433966666667</v>
      </c>
      <c r="DC80" s="3">
        <f t="shared" si="55"/>
        <v>-3158.6417212000001</v>
      </c>
      <c r="DD80" s="3">
        <f t="shared" si="56"/>
        <v>-2283.3796954285713</v>
      </c>
      <c r="DE80" s="3">
        <f t="shared" si="57"/>
        <v>-985.70865200000003</v>
      </c>
      <c r="DF80" s="3">
        <f t="shared" si="58"/>
        <v>-728.47156720000009</v>
      </c>
      <c r="DG80" s="3">
        <f t="shared" si="63"/>
        <v>-333.7567138</v>
      </c>
      <c r="DI80" s="3">
        <f t="shared" si="59"/>
        <v>-96.495648880000005</v>
      </c>
      <c r="DT80" s="3">
        <f t="shared" si="60"/>
        <v>-92705.448690000005</v>
      </c>
      <c r="DU80" s="3">
        <f t="shared" si="61"/>
        <v>-21557.526330000001</v>
      </c>
      <c r="DV80" s="3">
        <f t="shared" si="62"/>
        <v>-18843.561140000002</v>
      </c>
      <c r="DW80" s="3">
        <f t="shared" si="66"/>
        <v>-6978.8285150000002</v>
      </c>
      <c r="DX80" s="3">
        <f t="shared" si="35"/>
        <v>-6199.8011536666663</v>
      </c>
      <c r="DY80" s="3">
        <f t="shared" si="40"/>
        <v>-5572.9714705999995</v>
      </c>
      <c r="DZ80" s="3">
        <f t="shared" si="39"/>
        <v>-2243.6894040000002</v>
      </c>
      <c r="EA80" s="3">
        <f t="shared" si="46"/>
        <v>-1933.3716983333334</v>
      </c>
      <c r="EB80" s="3">
        <f t="shared" si="65"/>
        <v>-1579.3208606000001</v>
      </c>
      <c r="EC80" s="3">
        <f t="shared" si="45"/>
        <v>-1141.6898477142856</v>
      </c>
      <c r="ED80" s="3">
        <f t="shared" si="36"/>
        <v>-492.85432600000001</v>
      </c>
      <c r="EE80" s="3">
        <f t="shared" si="38"/>
        <v>-364.23578360000005</v>
      </c>
      <c r="EF80" s="3">
        <f t="shared" si="64"/>
        <v>-166.8783569</v>
      </c>
      <c r="EH80" s="3">
        <f t="shared" si="42"/>
        <v>-48.247824440000002</v>
      </c>
      <c r="ES80" s="3">
        <v>8.7057599999999997</v>
      </c>
      <c r="FC80" s="32">
        <v>138.06899999999999</v>
      </c>
      <c r="FD80" s="16"/>
    </row>
    <row r="81" spans="3:160" ht="16" x14ac:dyDescent="0.2">
      <c r="C81" s="7" t="s">
        <v>77</v>
      </c>
      <c r="D81" s="3">
        <v>77</v>
      </c>
      <c r="E81" s="3">
        <v>192.21700000000001</v>
      </c>
      <c r="F81" s="3">
        <v>2.79</v>
      </c>
      <c r="G81" s="3">
        <v>2.2000000000000002</v>
      </c>
      <c r="H81" s="3">
        <v>22.42</v>
      </c>
      <c r="I81" s="3">
        <v>2719</v>
      </c>
      <c r="J81" s="3">
        <v>4701</v>
      </c>
      <c r="K81" s="28">
        <v>76.22</v>
      </c>
      <c r="L81" s="28">
        <v>73.135999999999996</v>
      </c>
      <c r="M81" s="28">
        <v>71.280333333333331</v>
      </c>
      <c r="N81" s="28">
        <v>66.317999999999998</v>
      </c>
      <c r="O81" s="28">
        <v>63.156333333333329</v>
      </c>
      <c r="P81" s="28">
        <v>59.560600000000001</v>
      </c>
      <c r="Q81" s="28">
        <v>54.618000000000002</v>
      </c>
      <c r="R81" s="28">
        <v>50.238999999999997</v>
      </c>
      <c r="S81" s="28">
        <v>43.558399999999999</v>
      </c>
      <c r="T81" s="28">
        <v>33.816428571428567</v>
      </c>
      <c r="U81" s="28">
        <v>37.253</v>
      </c>
      <c r="V81" s="28">
        <v>31.711333333333332</v>
      </c>
      <c r="W81" s="28">
        <v>20.566800000000001</v>
      </c>
      <c r="X81" s="28"/>
      <c r="Y81" s="28">
        <v>17.390999999999998</v>
      </c>
      <c r="Z81" s="28"/>
      <c r="AA81" s="28"/>
      <c r="AB81" s="28"/>
      <c r="AC81" s="28"/>
      <c r="AD81" s="23"/>
      <c r="AE81" s="23"/>
      <c r="AF81" s="23"/>
      <c r="AG81" s="23"/>
      <c r="AH81" s="23"/>
      <c r="AI81" s="23"/>
      <c r="AP81" s="24">
        <v>0.58189999999999997</v>
      </c>
      <c r="AQ81" s="24">
        <v>3.3327</v>
      </c>
      <c r="AR81" s="24">
        <v>2.7155333333333331</v>
      </c>
      <c r="AS81" s="24">
        <v>9.3103999999999996</v>
      </c>
      <c r="AT81" s="24">
        <v>9.2222333333333335</v>
      </c>
      <c r="AU81" s="24">
        <v>7.5329600000000001</v>
      </c>
      <c r="AV81" s="24">
        <v>21.054200000000002</v>
      </c>
      <c r="AW81" s="24">
        <v>22.112200000000001</v>
      </c>
      <c r="AX81" s="24">
        <v>22.641200000000001</v>
      </c>
      <c r="AY81" s="24">
        <v>21.04664285714286</v>
      </c>
      <c r="AZ81" s="24">
        <v>47.6629</v>
      </c>
      <c r="BA81" s="24">
        <v>53.376100000000001</v>
      </c>
      <c r="BB81" s="24">
        <v>68.812319999999985</v>
      </c>
      <c r="BC81" s="24"/>
      <c r="BD81" s="24">
        <v>133.41379999999998</v>
      </c>
      <c r="BE81" s="24"/>
      <c r="BF81" s="24"/>
      <c r="BG81" s="24"/>
      <c r="BH81" s="24"/>
      <c r="BO81" s="3">
        <v>233</v>
      </c>
      <c r="BP81" s="3">
        <v>241</v>
      </c>
      <c r="BQ81" s="3">
        <v>135.5</v>
      </c>
      <c r="BR81" s="3">
        <v>141</v>
      </c>
      <c r="BS81" s="3">
        <v>180</v>
      </c>
      <c r="BV81" s="3">
        <v>95727.574909999996</v>
      </c>
      <c r="BW81" s="3">
        <v>22323.885160000002</v>
      </c>
      <c r="BX81" s="3">
        <v>19436.201230000002</v>
      </c>
      <c r="BY81" s="3">
        <v>7240.4752230000004</v>
      </c>
      <c r="BZ81" s="3">
        <v>6414.7455073333331</v>
      </c>
      <c r="CA81" s="3">
        <v>5756.6680128000007</v>
      </c>
      <c r="CB81" s="3">
        <v>2341.5423300000002</v>
      </c>
      <c r="CC81" s="3">
        <v>2015.6460343333335</v>
      </c>
      <c r="CD81" s="3">
        <v>1650.5392888000001</v>
      </c>
      <c r="CE81" s="3">
        <v>1213.8705814285713</v>
      </c>
      <c r="CF81" s="3">
        <v>526.7497237</v>
      </c>
      <c r="CG81" s="3">
        <v>391.3361631333334</v>
      </c>
      <c r="CH81" s="3">
        <v>185.79956136000001</v>
      </c>
      <c r="CJ81" s="3">
        <v>52.317920919999999</v>
      </c>
      <c r="CU81" s="3">
        <f t="shared" si="47"/>
        <v>-191455.14981999999</v>
      </c>
      <c r="CV81" s="3">
        <f t="shared" si="48"/>
        <v>-44647.770320000003</v>
      </c>
      <c r="CW81" s="3">
        <f t="shared" si="49"/>
        <v>-38872.402460000005</v>
      </c>
      <c r="CX81" s="3">
        <f t="shared" si="50"/>
        <v>-14480.950446000001</v>
      </c>
      <c r="CY81" s="3">
        <f t="shared" si="51"/>
        <v>-12829.491014666666</v>
      </c>
      <c r="CZ81" s="3">
        <f t="shared" si="52"/>
        <v>-11513.336025600001</v>
      </c>
      <c r="DA81" s="3">
        <f t="shared" si="53"/>
        <v>-4683.0846600000004</v>
      </c>
      <c r="DB81" s="3">
        <f t="shared" si="54"/>
        <v>-4031.2920686666671</v>
      </c>
      <c r="DC81" s="3">
        <f t="shared" si="55"/>
        <v>-3301.0785776000002</v>
      </c>
      <c r="DD81" s="3">
        <f t="shared" si="56"/>
        <v>-2427.7411628571426</v>
      </c>
      <c r="DE81" s="3">
        <f t="shared" si="57"/>
        <v>-1053.4994474</v>
      </c>
      <c r="DF81" s="3">
        <f t="shared" si="58"/>
        <v>-782.6723262666668</v>
      </c>
      <c r="DG81" s="3">
        <f t="shared" si="63"/>
        <v>-371.59912272000003</v>
      </c>
      <c r="DI81" s="3">
        <f t="shared" si="59"/>
        <v>-104.63584184</v>
      </c>
      <c r="DT81" s="3">
        <f t="shared" si="60"/>
        <v>-95727.574909999996</v>
      </c>
      <c r="DU81" s="3">
        <f t="shared" si="61"/>
        <v>-22323.885160000002</v>
      </c>
      <c r="DV81" s="3">
        <f t="shared" si="62"/>
        <v>-19436.201230000002</v>
      </c>
      <c r="DW81" s="3">
        <f t="shared" si="66"/>
        <v>-7240.4752230000004</v>
      </c>
      <c r="DX81" s="3">
        <f t="shared" ref="DX81:DX99" si="67">-1*BZ81</f>
        <v>-6414.7455073333331</v>
      </c>
      <c r="DY81" s="3">
        <f t="shared" si="40"/>
        <v>-5756.6680128000007</v>
      </c>
      <c r="DZ81" s="3">
        <f t="shared" si="39"/>
        <v>-2341.5423300000002</v>
      </c>
      <c r="EA81" s="3">
        <f t="shared" si="46"/>
        <v>-2015.6460343333335</v>
      </c>
      <c r="EB81" s="3">
        <f t="shared" si="65"/>
        <v>-1650.5392888000001</v>
      </c>
      <c r="EC81" s="3">
        <f t="shared" si="45"/>
        <v>-1213.8705814285713</v>
      </c>
      <c r="ED81" s="3">
        <f t="shared" si="36"/>
        <v>-526.7497237</v>
      </c>
      <c r="EE81" s="3">
        <f t="shared" si="38"/>
        <v>-391.3361631333334</v>
      </c>
      <c r="EF81" s="3">
        <f t="shared" si="64"/>
        <v>-185.79956136000001</v>
      </c>
      <c r="EH81" s="3">
        <f t="shared" si="42"/>
        <v>-52.317920919999999</v>
      </c>
      <c r="ES81" s="3">
        <v>9.1203200000000013</v>
      </c>
      <c r="FC81" s="32">
        <v>133.41379999999998</v>
      </c>
      <c r="FD81" s="16"/>
    </row>
    <row r="82" spans="3:160" ht="16" x14ac:dyDescent="0.2">
      <c r="C82" s="7" t="s">
        <v>78</v>
      </c>
      <c r="D82" s="3">
        <v>78</v>
      </c>
      <c r="E82" s="3">
        <v>195.084</v>
      </c>
      <c r="F82" s="3">
        <v>2.98</v>
      </c>
      <c r="G82" s="3">
        <v>2.2799999999999998</v>
      </c>
      <c r="H82" s="3">
        <v>21.46</v>
      </c>
      <c r="I82" s="3">
        <v>2041.55</v>
      </c>
      <c r="J82" s="3">
        <v>4098</v>
      </c>
      <c r="K82" s="28">
        <v>77.216999999999999</v>
      </c>
      <c r="L82" s="28">
        <v>74.149000000000001</v>
      </c>
      <c r="M82" s="28">
        <v>72.271333333333331</v>
      </c>
      <c r="N82" s="28">
        <v>67.340999999999994</v>
      </c>
      <c r="O82" s="28">
        <v>64.137</v>
      </c>
      <c r="P82" s="28">
        <v>60.517800000000001</v>
      </c>
      <c r="Q82" s="28">
        <v>55.628999999999998</v>
      </c>
      <c r="R82" s="28">
        <v>51.201000000000001</v>
      </c>
      <c r="S82" s="28">
        <v>44.513199999999998</v>
      </c>
      <c r="T82" s="28">
        <v>35.005571428571429</v>
      </c>
      <c r="U82" s="28">
        <v>38.152000000000001</v>
      </c>
      <c r="V82" s="28">
        <v>32.525333333333329</v>
      </c>
      <c r="W82" s="28">
        <v>20.693000000000001</v>
      </c>
      <c r="X82" s="28"/>
      <c r="Y82" s="28">
        <v>17.381</v>
      </c>
      <c r="Z82" s="28"/>
      <c r="AA82" s="28"/>
      <c r="AB82" s="28"/>
      <c r="AC82" s="28"/>
      <c r="AD82" s="23"/>
      <c r="AE82" s="23"/>
      <c r="AF82" s="23"/>
      <c r="AG82" s="23"/>
      <c r="AH82" s="23"/>
      <c r="AI82" s="23"/>
      <c r="AP82" s="24">
        <v>0.58189999999999997</v>
      </c>
      <c r="AQ82" s="24">
        <v>3.2797999999999998</v>
      </c>
      <c r="AR82" s="24">
        <v>2.6802666666666664</v>
      </c>
      <c r="AS82" s="24">
        <v>9.1516999999999999</v>
      </c>
      <c r="AT82" s="24">
        <v>9.0635333333333339</v>
      </c>
      <c r="AU82" s="24">
        <v>7.4271599999999989</v>
      </c>
      <c r="AV82" s="24">
        <v>20.683900000000001</v>
      </c>
      <c r="AW82" s="24">
        <v>21.706633333333329</v>
      </c>
      <c r="AX82" s="24">
        <v>22.186259999999997</v>
      </c>
      <c r="AY82" s="24">
        <v>20.517642857142853</v>
      </c>
      <c r="AZ82" s="24">
        <v>46.499099999999999</v>
      </c>
      <c r="BA82" s="24">
        <v>52.03596666666666</v>
      </c>
      <c r="BB82" s="24">
        <v>66.759800000000013</v>
      </c>
      <c r="BC82" s="24"/>
      <c r="BD82" s="24">
        <v>132.5145</v>
      </c>
      <c r="BE82" s="24"/>
      <c r="BF82" s="24"/>
      <c r="BG82" s="24"/>
      <c r="BH82" s="24"/>
      <c r="BO82" s="3">
        <v>229.99999999999997</v>
      </c>
      <c r="BP82" s="3">
        <v>229</v>
      </c>
      <c r="BQ82" s="3">
        <v>138.5</v>
      </c>
      <c r="BR82" s="3">
        <v>136</v>
      </c>
      <c r="BS82" s="3">
        <v>177</v>
      </c>
      <c r="BV82" s="3">
        <v>98826.224990000002</v>
      </c>
      <c r="BW82" s="3">
        <v>23112.347529999999</v>
      </c>
      <c r="BX82" s="3">
        <v>20041.615243333334</v>
      </c>
      <c r="BY82" s="3">
        <v>7509.1982509999998</v>
      </c>
      <c r="BZ82" s="3">
        <v>6634.3611490000003</v>
      </c>
      <c r="CA82" s="3">
        <v>5943.4979995999993</v>
      </c>
      <c r="CB82" s="3">
        <v>2442.322275</v>
      </c>
      <c r="CC82" s="3">
        <v>2100.5672573333336</v>
      </c>
      <c r="CD82" s="3">
        <v>1724.0956537999998</v>
      </c>
      <c r="CE82" s="3">
        <v>1286.8588758571427</v>
      </c>
      <c r="CF82" s="3">
        <v>557.64942020000001</v>
      </c>
      <c r="CG82" s="3">
        <v>415.41758479999999</v>
      </c>
      <c r="CH82" s="3">
        <v>193.56110034</v>
      </c>
      <c r="CJ82" s="3">
        <v>51.959876250000001</v>
      </c>
      <c r="CU82" s="3">
        <f t="shared" si="47"/>
        <v>-197652.44998</v>
      </c>
      <c r="CV82" s="3">
        <f t="shared" si="48"/>
        <v>-46224.695059999998</v>
      </c>
      <c r="CW82" s="3">
        <f t="shared" si="49"/>
        <v>-40083.230486666667</v>
      </c>
      <c r="CX82" s="3">
        <f t="shared" si="50"/>
        <v>-15018.396502</v>
      </c>
      <c r="CY82" s="3">
        <f t="shared" si="51"/>
        <v>-13268.722298000001</v>
      </c>
      <c r="CZ82" s="3">
        <f t="shared" si="52"/>
        <v>-11886.995999199999</v>
      </c>
      <c r="DA82" s="3">
        <f t="shared" si="53"/>
        <v>-4884.64455</v>
      </c>
      <c r="DB82" s="3">
        <f t="shared" si="54"/>
        <v>-4201.1345146666672</v>
      </c>
      <c r="DC82" s="3">
        <f t="shared" si="55"/>
        <v>-3448.1913075999996</v>
      </c>
      <c r="DD82" s="3">
        <f t="shared" si="56"/>
        <v>-2573.7177517142854</v>
      </c>
      <c r="DE82" s="3">
        <f t="shared" si="57"/>
        <v>-1115.2988404</v>
      </c>
      <c r="DF82" s="3">
        <f t="shared" si="58"/>
        <v>-830.83516959999997</v>
      </c>
      <c r="DG82" s="3">
        <f t="shared" si="63"/>
        <v>-387.12220067999999</v>
      </c>
      <c r="DI82" s="3">
        <f t="shared" si="59"/>
        <v>-103.9197525</v>
      </c>
      <c r="DT82" s="3">
        <f t="shared" si="60"/>
        <v>-98826.224990000002</v>
      </c>
      <c r="DU82" s="3">
        <f t="shared" si="61"/>
        <v>-23112.347529999999</v>
      </c>
      <c r="DV82" s="3">
        <f t="shared" si="62"/>
        <v>-20041.615243333334</v>
      </c>
      <c r="DW82" s="3">
        <f t="shared" si="66"/>
        <v>-7509.1982509999998</v>
      </c>
      <c r="DX82" s="3">
        <f t="shared" si="67"/>
        <v>-6634.3611490000003</v>
      </c>
      <c r="DY82" s="3">
        <f t="shared" si="40"/>
        <v>-5943.4979995999993</v>
      </c>
      <c r="DZ82" s="3">
        <f t="shared" si="39"/>
        <v>-2442.322275</v>
      </c>
      <c r="EA82" s="3">
        <f t="shared" si="46"/>
        <v>-2100.5672573333336</v>
      </c>
      <c r="EB82" s="3">
        <f t="shared" si="65"/>
        <v>-1724.0956537999998</v>
      </c>
      <c r="EC82" s="3">
        <f t="shared" si="45"/>
        <v>-1286.8588758571427</v>
      </c>
      <c r="ED82" s="3">
        <f t="shared" si="36"/>
        <v>-557.64942020000001</v>
      </c>
      <c r="EE82" s="3">
        <f t="shared" si="38"/>
        <v>-415.41758479999999</v>
      </c>
      <c r="EF82" s="3">
        <f t="shared" si="64"/>
        <v>-193.56110034</v>
      </c>
      <c r="EH82" s="3">
        <f t="shared" si="42"/>
        <v>-51.959876250000001</v>
      </c>
      <c r="ES82" s="3">
        <v>9.0166800000000009</v>
      </c>
      <c r="ET82" s="3">
        <v>18.562960400000001</v>
      </c>
      <c r="FC82" s="32">
        <v>132.5145</v>
      </c>
      <c r="FD82" s="16"/>
    </row>
    <row r="83" spans="3:160" ht="16" x14ac:dyDescent="0.2">
      <c r="C83" s="7" t="s">
        <v>79</v>
      </c>
      <c r="D83" s="3">
        <v>79</v>
      </c>
      <c r="E83" s="3">
        <v>196.96656999999999</v>
      </c>
      <c r="F83" s="3">
        <v>2.81</v>
      </c>
      <c r="G83" s="3">
        <v>2.54</v>
      </c>
      <c r="H83" s="3">
        <v>19.282</v>
      </c>
      <c r="I83" s="3">
        <v>1337.33</v>
      </c>
      <c r="J83" s="3">
        <v>3129</v>
      </c>
      <c r="K83" s="28">
        <v>78.213999999999999</v>
      </c>
      <c r="L83" s="28">
        <v>75.162999999999997</v>
      </c>
      <c r="M83" s="28">
        <v>73.262333333333331</v>
      </c>
      <c r="N83" s="28">
        <v>68.367000000000004</v>
      </c>
      <c r="O83" s="28">
        <v>65.11966666666666</v>
      </c>
      <c r="P83" s="28">
        <v>61.474400000000003</v>
      </c>
      <c r="Q83" s="28">
        <v>56.648000000000003</v>
      </c>
      <c r="R83" s="28">
        <v>52.165333333333336</v>
      </c>
      <c r="S83" s="28">
        <v>45.477800000000002</v>
      </c>
      <c r="T83" s="28">
        <v>36.182714285714283</v>
      </c>
      <c r="U83" s="28">
        <v>39.146000000000001</v>
      </c>
      <c r="V83" s="28">
        <v>33.469000000000001</v>
      </c>
      <c r="W83" s="28">
        <v>21.735199999999999</v>
      </c>
      <c r="X83" s="28"/>
      <c r="Y83" s="28">
        <v>17.585999999999999</v>
      </c>
      <c r="Z83" s="28"/>
      <c r="AA83" s="28"/>
      <c r="AB83" s="28"/>
      <c r="AC83" s="28"/>
      <c r="AD83" s="23"/>
      <c r="AE83" s="23"/>
      <c r="AF83" s="23"/>
      <c r="AG83" s="23"/>
      <c r="AH83" s="23"/>
      <c r="AI83" s="23"/>
      <c r="AP83" s="24">
        <v>0.52900000000000003</v>
      </c>
      <c r="AQ83" s="24">
        <v>3.1739999999999999</v>
      </c>
      <c r="AR83" s="24">
        <v>2.6273666666666666</v>
      </c>
      <c r="AS83" s="24">
        <v>8.9930000000000003</v>
      </c>
      <c r="AT83" s="24">
        <v>8.9400999999999993</v>
      </c>
      <c r="AU83" s="24">
        <v>7.3213600000000003</v>
      </c>
      <c r="AV83" s="24">
        <v>20.313600000000001</v>
      </c>
      <c r="AW83" s="24">
        <v>21.3187</v>
      </c>
      <c r="AX83" s="24">
        <v>21.794800000000002</v>
      </c>
      <c r="AY83" s="24">
        <v>19.988642857142857</v>
      </c>
      <c r="AZ83" s="24">
        <v>45.388199999999998</v>
      </c>
      <c r="BA83" s="24">
        <v>50.678200000000004</v>
      </c>
      <c r="BB83" s="24">
        <v>64.231180000000009</v>
      </c>
      <c r="BC83" s="24"/>
      <c r="BD83" s="24">
        <v>130.0282</v>
      </c>
      <c r="BE83" s="24"/>
      <c r="BF83" s="24"/>
      <c r="BG83" s="24"/>
      <c r="BH83" s="24"/>
      <c r="BO83" s="3">
        <v>225.99999999999997</v>
      </c>
      <c r="BP83" s="3">
        <v>231.99999999999997</v>
      </c>
      <c r="BQ83" s="3">
        <v>144</v>
      </c>
      <c r="BR83" s="3">
        <v>136</v>
      </c>
      <c r="BS83" s="3">
        <v>174</v>
      </c>
      <c r="BV83" s="3">
        <v>102006.6235</v>
      </c>
      <c r="BW83" s="3">
        <v>23924.30039</v>
      </c>
      <c r="BX83" s="3">
        <v>20660.039563333336</v>
      </c>
      <c r="BY83" s="3">
        <v>7785.8155740000002</v>
      </c>
      <c r="BZ83" s="3">
        <v>6858.9273570000005</v>
      </c>
      <c r="CA83" s="3">
        <v>6133.4484801999997</v>
      </c>
      <c r="CB83" s="3">
        <v>2546.9017450000001</v>
      </c>
      <c r="CC83" s="3">
        <v>2187.8668553333332</v>
      </c>
      <c r="CD83" s="3">
        <v>1799.8610122000002</v>
      </c>
      <c r="CE83" s="3">
        <v>1361.2599927142858</v>
      </c>
      <c r="CF83" s="3">
        <v>593.14101049999999</v>
      </c>
      <c r="CG83" s="3">
        <v>444.04591073333336</v>
      </c>
      <c r="CH83" s="3">
        <v>214.24471264000005</v>
      </c>
      <c r="CJ83" s="3">
        <v>53.548972089999999</v>
      </c>
      <c r="CU83" s="3">
        <f t="shared" si="47"/>
        <v>-204013.247</v>
      </c>
      <c r="CV83" s="3">
        <f t="shared" si="48"/>
        <v>-47848.600780000001</v>
      </c>
      <c r="CW83" s="3">
        <f t="shared" si="49"/>
        <v>-41320.079126666671</v>
      </c>
      <c r="CX83" s="3">
        <f t="shared" si="50"/>
        <v>-15571.631148</v>
      </c>
      <c r="CY83" s="3">
        <f t="shared" si="51"/>
        <v>-13717.854714000001</v>
      </c>
      <c r="CZ83" s="3">
        <f t="shared" si="52"/>
        <v>-12266.896960399999</v>
      </c>
      <c r="DA83" s="3">
        <f t="shared" si="53"/>
        <v>-5093.8034900000002</v>
      </c>
      <c r="DB83" s="3">
        <f t="shared" si="54"/>
        <v>-4375.7337106666664</v>
      </c>
      <c r="DC83" s="3">
        <f t="shared" si="55"/>
        <v>-3599.7220244000005</v>
      </c>
      <c r="DD83" s="3">
        <f t="shared" si="56"/>
        <v>-2722.5199854285715</v>
      </c>
      <c r="DE83" s="3">
        <f t="shared" si="57"/>
        <v>-1186.282021</v>
      </c>
      <c r="DF83" s="3">
        <f t="shared" si="58"/>
        <v>-888.09182146666672</v>
      </c>
      <c r="DG83" s="3">
        <f t="shared" si="63"/>
        <v>-428.48942528000009</v>
      </c>
      <c r="DI83" s="3">
        <f t="shared" si="59"/>
        <v>-107.09794418</v>
      </c>
      <c r="DT83" s="3">
        <f t="shared" si="60"/>
        <v>-102006.6235</v>
      </c>
      <c r="DU83" s="3">
        <f t="shared" si="61"/>
        <v>-23924.30039</v>
      </c>
      <c r="DV83" s="3">
        <f t="shared" si="62"/>
        <v>-20660.039563333336</v>
      </c>
      <c r="DW83" s="3">
        <f t="shared" si="66"/>
        <v>-7785.8155740000002</v>
      </c>
      <c r="DX83" s="3">
        <f t="shared" si="67"/>
        <v>-6858.9273570000005</v>
      </c>
      <c r="DY83" s="3">
        <f t="shared" si="40"/>
        <v>-6133.4484801999997</v>
      </c>
      <c r="DZ83" s="3">
        <f t="shared" si="39"/>
        <v>-2546.9017450000001</v>
      </c>
      <c r="EA83" s="3">
        <f t="shared" si="46"/>
        <v>-2187.8668553333332</v>
      </c>
      <c r="EB83" s="3">
        <f t="shared" si="65"/>
        <v>-1799.8610122000002</v>
      </c>
      <c r="EC83" s="3">
        <f t="shared" si="45"/>
        <v>-1361.2599927142858</v>
      </c>
      <c r="ED83" s="3">
        <f t="shared" ref="ED83:ED99" si="68">-1*CF83</f>
        <v>-593.14101049999999</v>
      </c>
      <c r="EE83" s="3">
        <f t="shared" si="38"/>
        <v>-444.04591073333336</v>
      </c>
      <c r="EF83" s="3">
        <f t="shared" si="64"/>
        <v>-214.24471264000005</v>
      </c>
      <c r="EH83" s="3">
        <f t="shared" si="42"/>
        <v>-53.548972089999999</v>
      </c>
      <c r="ES83" s="3">
        <v>9.2249964000000002</v>
      </c>
      <c r="ET83" s="3">
        <v>20.520720000000001</v>
      </c>
      <c r="FC83" s="32">
        <v>130.0282</v>
      </c>
      <c r="FD83" s="16"/>
    </row>
    <row r="84" spans="3:160" ht="16" x14ac:dyDescent="0.2">
      <c r="C84" s="7" t="s">
        <v>80</v>
      </c>
      <c r="D84" s="3">
        <v>80</v>
      </c>
      <c r="E84" s="3">
        <v>200.59200000000001</v>
      </c>
      <c r="F84" s="3">
        <v>2.92</v>
      </c>
      <c r="G84" s="3">
        <v>2</v>
      </c>
      <c r="H84" s="3">
        <v>13.5336</v>
      </c>
      <c r="I84" s="3">
        <v>234.32</v>
      </c>
      <c r="J84" s="3">
        <v>629.88</v>
      </c>
      <c r="K84" s="28">
        <v>79.210999999999999</v>
      </c>
      <c r="L84" s="28">
        <v>76.177000000000007</v>
      </c>
      <c r="M84" s="28">
        <v>74.253666666666675</v>
      </c>
      <c r="N84" s="28">
        <v>69.394999999999996</v>
      </c>
      <c r="O84" s="28">
        <v>66.103333333333339</v>
      </c>
      <c r="P84" s="28">
        <v>62.431400000000011</v>
      </c>
      <c r="Q84" s="28">
        <v>57.676000000000002</v>
      </c>
      <c r="R84" s="28">
        <v>53.132333333333328</v>
      </c>
      <c r="S84" s="28">
        <v>46.431399999999996</v>
      </c>
      <c r="T84" s="28">
        <v>37.352285714285713</v>
      </c>
      <c r="U84" s="28">
        <v>40.298000000000002</v>
      </c>
      <c r="V84" s="28">
        <v>34.555666666666667</v>
      </c>
      <c r="W84" s="28">
        <v>23.404399999999999</v>
      </c>
      <c r="X84" s="28"/>
      <c r="Y84" s="28">
        <v>18.925999999999998</v>
      </c>
      <c r="Z84" s="28"/>
      <c r="AA84" s="28"/>
      <c r="AB84" s="28"/>
      <c r="AC84" s="28"/>
      <c r="AD84" s="23"/>
      <c r="AE84" s="23"/>
      <c r="AF84" s="23"/>
      <c r="AG84" s="23"/>
      <c r="AH84" s="23"/>
      <c r="AI84" s="23"/>
      <c r="AP84" s="24">
        <v>0.52900000000000003</v>
      </c>
      <c r="AQ84" s="24">
        <v>3.1210999999999998</v>
      </c>
      <c r="AR84" s="24">
        <v>2.5744666666666665</v>
      </c>
      <c r="AS84" s="24">
        <v>8.8343000000000007</v>
      </c>
      <c r="AT84" s="24">
        <v>8.7813999999999997</v>
      </c>
      <c r="AU84" s="24">
        <v>7.1626599999999998</v>
      </c>
      <c r="AV84" s="24">
        <v>19.943300000000001</v>
      </c>
      <c r="AW84" s="24">
        <v>20.913133333333331</v>
      </c>
      <c r="AX84" s="24">
        <v>21.392760000000003</v>
      </c>
      <c r="AY84" s="24">
        <v>19.512542857142854</v>
      </c>
      <c r="AZ84" s="24">
        <v>44.277299999999997</v>
      </c>
      <c r="BA84" s="24">
        <v>49.355699999999992</v>
      </c>
      <c r="BB84" s="24">
        <v>61.459220000000002</v>
      </c>
      <c r="BC84" s="24"/>
      <c r="BD84" s="24">
        <v>121.72290000000001</v>
      </c>
      <c r="BE84" s="24"/>
      <c r="BF84" s="24"/>
      <c r="BG84" s="24"/>
      <c r="BH84" s="24"/>
      <c r="BO84" s="3">
        <v>229</v>
      </c>
      <c r="BP84" s="3">
        <v>254</v>
      </c>
      <c r="BQ84" s="3">
        <v>151</v>
      </c>
      <c r="BR84" s="3">
        <v>132</v>
      </c>
      <c r="BS84" s="3">
        <v>171</v>
      </c>
      <c r="BV84" s="3">
        <v>105269.0671</v>
      </c>
      <c r="BW84" s="3">
        <v>24760.237099999998</v>
      </c>
      <c r="BX84" s="3">
        <v>21291.772976666663</v>
      </c>
      <c r="BY84" s="3">
        <v>8070.5775350000004</v>
      </c>
      <c r="BZ84" s="3">
        <v>7088.5968793333332</v>
      </c>
      <c r="CA84" s="3">
        <v>6326.5188538000002</v>
      </c>
      <c r="CB84" s="3">
        <v>2655.446269</v>
      </c>
      <c r="CC84" s="3">
        <v>2277.5812823333331</v>
      </c>
      <c r="CD84" s="3">
        <v>1876.7168176</v>
      </c>
      <c r="CE84" s="3">
        <v>1437.2111555714287</v>
      </c>
      <c r="CF84" s="3">
        <v>635.68475739999997</v>
      </c>
      <c r="CG84" s="3">
        <v>478.13931663333341</v>
      </c>
      <c r="CH84" s="3">
        <v>247.12444655999997</v>
      </c>
      <c r="CJ84" s="3">
        <v>64.547119550000005</v>
      </c>
      <c r="CU84" s="3">
        <f t="shared" si="47"/>
        <v>-210538.1342</v>
      </c>
      <c r="CV84" s="3">
        <f t="shared" si="48"/>
        <v>-49520.474199999997</v>
      </c>
      <c r="CW84" s="3">
        <f t="shared" si="49"/>
        <v>-42583.545953333327</v>
      </c>
      <c r="CX84" s="3">
        <f t="shared" si="50"/>
        <v>-16141.155070000001</v>
      </c>
      <c r="CY84" s="3">
        <f t="shared" si="51"/>
        <v>-14177.193758666666</v>
      </c>
      <c r="CZ84" s="3">
        <f t="shared" si="52"/>
        <v>-12653.0377076</v>
      </c>
      <c r="DA84" s="3">
        <f t="shared" si="53"/>
        <v>-5310.8925380000001</v>
      </c>
      <c r="DB84" s="3">
        <f t="shared" si="54"/>
        <v>-4555.1625646666662</v>
      </c>
      <c r="DC84" s="3">
        <f t="shared" si="55"/>
        <v>-3753.4336352</v>
      </c>
      <c r="DD84" s="3">
        <f t="shared" si="56"/>
        <v>-2874.4223111428573</v>
      </c>
      <c r="DE84" s="3">
        <f t="shared" si="57"/>
        <v>-1271.3695147999999</v>
      </c>
      <c r="DF84" s="3">
        <f t="shared" si="58"/>
        <v>-956.27863326666682</v>
      </c>
      <c r="DG84" s="3">
        <f t="shared" si="63"/>
        <v>-494.24889311999993</v>
      </c>
      <c r="DI84" s="3">
        <f t="shared" si="59"/>
        <v>-129.09423910000001</v>
      </c>
      <c r="DT84" s="3">
        <f t="shared" si="60"/>
        <v>-105269.0671</v>
      </c>
      <c r="DU84" s="3">
        <f t="shared" si="61"/>
        <v>-24760.237099999998</v>
      </c>
      <c r="DV84" s="3">
        <f t="shared" si="62"/>
        <v>-21291.772976666663</v>
      </c>
      <c r="DW84" s="3">
        <f t="shared" si="66"/>
        <v>-8070.5775350000004</v>
      </c>
      <c r="DX84" s="3">
        <f t="shared" si="67"/>
        <v>-7088.5968793333332</v>
      </c>
      <c r="DY84" s="3">
        <f t="shared" si="40"/>
        <v>-6326.5188538000002</v>
      </c>
      <c r="DZ84" s="3">
        <f t="shared" si="39"/>
        <v>-2655.446269</v>
      </c>
      <c r="EA84" s="3">
        <f t="shared" si="46"/>
        <v>-2277.5812823333331</v>
      </c>
      <c r="EB84" s="3">
        <f t="shared" si="65"/>
        <v>-1876.7168176</v>
      </c>
      <c r="EC84" s="3">
        <f t="shared" si="45"/>
        <v>-1437.2111555714287</v>
      </c>
      <c r="ED84" s="3">
        <f t="shared" si="68"/>
        <v>-635.68475739999997</v>
      </c>
      <c r="EE84" s="3">
        <f t="shared" si="38"/>
        <v>-478.13931663333341</v>
      </c>
      <c r="EF84" s="3">
        <f t="shared" si="64"/>
        <v>-247.12444655999997</v>
      </c>
      <c r="EH84" s="3">
        <f t="shared" si="42"/>
        <v>-64.547119550000005</v>
      </c>
      <c r="ES84" s="3">
        <v>10.436548</v>
      </c>
      <c r="ET84" s="3">
        <v>18.755730800000002</v>
      </c>
      <c r="EV84" s="3">
        <v>34.2012</v>
      </c>
      <c r="FC84" s="32">
        <v>121.72290000000001</v>
      </c>
      <c r="FD84" s="16"/>
    </row>
    <row r="85" spans="3:160" ht="16" x14ac:dyDescent="0.2">
      <c r="C85" s="7" t="s">
        <v>81</v>
      </c>
      <c r="D85" s="3">
        <v>81</v>
      </c>
      <c r="E85" s="3">
        <v>204.3835</v>
      </c>
      <c r="F85" s="3">
        <v>2.2599999999999998</v>
      </c>
      <c r="G85" s="3">
        <v>1.62</v>
      </c>
      <c r="H85" s="3">
        <v>11.8</v>
      </c>
      <c r="I85" s="3">
        <v>577</v>
      </c>
      <c r="J85" s="3">
        <v>1746</v>
      </c>
      <c r="K85" s="28">
        <v>80.207999999999998</v>
      </c>
      <c r="L85" s="28">
        <v>77.191999999999993</v>
      </c>
      <c r="M85" s="28">
        <v>75.245333333333335</v>
      </c>
      <c r="N85" s="28">
        <v>70.424999999999997</v>
      </c>
      <c r="O85" s="28">
        <v>67.087666666666664</v>
      </c>
      <c r="P85" s="28">
        <v>63.387799999999991</v>
      </c>
      <c r="Q85" s="28">
        <v>58.707999999999998</v>
      </c>
      <c r="R85" s="28">
        <v>54.105666666666671</v>
      </c>
      <c r="S85" s="28">
        <v>47.387599999999999</v>
      </c>
      <c r="T85" s="28">
        <v>38.503857142857143</v>
      </c>
      <c r="U85" s="28">
        <v>41.433</v>
      </c>
      <c r="V85" s="28">
        <v>35.693999999999996</v>
      </c>
      <c r="W85" s="28">
        <v>25.0596</v>
      </c>
      <c r="X85" s="28"/>
      <c r="Y85" s="28">
        <v>20.760999999999999</v>
      </c>
      <c r="Z85" s="28">
        <v>15.074999999999999</v>
      </c>
      <c r="AA85" s="28"/>
      <c r="AB85" s="28"/>
      <c r="AC85" s="28"/>
      <c r="AD85" s="23"/>
      <c r="AE85" s="23"/>
      <c r="AF85" s="23"/>
      <c r="AG85" s="23"/>
      <c r="AH85" s="23"/>
      <c r="AI85" s="23"/>
      <c r="AP85" s="24">
        <v>0.52900000000000003</v>
      </c>
      <c r="AQ85" s="24">
        <v>3.0682</v>
      </c>
      <c r="AR85" s="24">
        <v>2.5568333333333331</v>
      </c>
      <c r="AS85" s="24">
        <v>8.6755999999999993</v>
      </c>
      <c r="AT85" s="24">
        <v>8.6755999999999993</v>
      </c>
      <c r="AU85" s="24">
        <v>7.0568600000000004</v>
      </c>
      <c r="AV85" s="24">
        <v>19.573</v>
      </c>
      <c r="AW85" s="24">
        <v>20.578099999999999</v>
      </c>
      <c r="AX85" s="24">
        <v>21.001300000000001</v>
      </c>
      <c r="AY85" s="24">
        <v>19.059114285714283</v>
      </c>
      <c r="AZ85" s="24">
        <v>43.166399999999996</v>
      </c>
      <c r="BA85" s="24">
        <v>48.050833333333337</v>
      </c>
      <c r="BB85" s="24">
        <v>58.951759999999993</v>
      </c>
      <c r="BC85" s="24"/>
      <c r="BD85" s="24">
        <v>113.57629999999999</v>
      </c>
      <c r="BE85" s="24">
        <v>145.6866</v>
      </c>
      <c r="BF85" s="24"/>
      <c r="BG85" s="24"/>
      <c r="BH85" s="24"/>
      <c r="BO85" s="3">
        <v>242</v>
      </c>
      <c r="BP85" s="3">
        <v>247.00000000000003</v>
      </c>
      <c r="BQ85" s="3">
        <v>170</v>
      </c>
      <c r="BR85" s="3">
        <v>145</v>
      </c>
      <c r="BS85" s="3">
        <v>156</v>
      </c>
      <c r="BV85" s="3">
        <v>108618.62790000001</v>
      </c>
      <c r="BW85" s="3">
        <v>25621.28556</v>
      </c>
      <c r="BX85" s="3">
        <v>21937.210130000003</v>
      </c>
      <c r="BY85" s="3">
        <v>8363.4337959999993</v>
      </c>
      <c r="BZ85" s="3">
        <v>7323.4176070000003</v>
      </c>
      <c r="CA85" s="3">
        <v>6522.7557619999989</v>
      </c>
      <c r="CB85" s="3">
        <v>2767.3389619999998</v>
      </c>
      <c r="CC85" s="3">
        <v>2370.0143893333334</v>
      </c>
      <c r="CD85" s="3">
        <v>1955.5338177999997</v>
      </c>
      <c r="CE85" s="3">
        <v>1514.5234861428569</v>
      </c>
      <c r="CF85" s="3">
        <v>679.20174669999994</v>
      </c>
      <c r="CG85" s="3">
        <v>515.03574906666665</v>
      </c>
      <c r="CH85" s="3">
        <v>282.68619594</v>
      </c>
      <c r="CJ85" s="3">
        <v>80.998841959999993</v>
      </c>
      <c r="CK85" s="3">
        <v>39.833490390000001</v>
      </c>
      <c r="CU85" s="3">
        <f t="shared" si="47"/>
        <v>-217237.25580000001</v>
      </c>
      <c r="CV85" s="3">
        <f t="shared" si="48"/>
        <v>-51242.571120000001</v>
      </c>
      <c r="CW85" s="3">
        <f t="shared" si="49"/>
        <v>-43874.420260000006</v>
      </c>
      <c r="CX85" s="3">
        <f t="shared" si="50"/>
        <v>-16726.867591999999</v>
      </c>
      <c r="CY85" s="3">
        <f t="shared" si="51"/>
        <v>-14646.835214000001</v>
      </c>
      <c r="CZ85" s="3">
        <f t="shared" si="52"/>
        <v>-13045.511523999998</v>
      </c>
      <c r="DA85" s="3">
        <f t="shared" si="53"/>
        <v>-5534.6779239999996</v>
      </c>
      <c r="DB85" s="3">
        <f t="shared" si="54"/>
        <v>-4740.0287786666668</v>
      </c>
      <c r="DC85" s="3">
        <f t="shared" si="55"/>
        <v>-3911.0676355999994</v>
      </c>
      <c r="DD85" s="3">
        <f t="shared" si="56"/>
        <v>-3029.0469722857138</v>
      </c>
      <c r="DE85" s="3">
        <f t="shared" si="57"/>
        <v>-1358.4034933999999</v>
      </c>
      <c r="DF85" s="3">
        <f t="shared" si="58"/>
        <v>-1030.0714981333333</v>
      </c>
      <c r="DG85" s="3">
        <f t="shared" si="63"/>
        <v>-565.37239188000001</v>
      </c>
      <c r="DI85" s="3">
        <f t="shared" si="59"/>
        <v>-161.99768391999999</v>
      </c>
      <c r="DJ85" s="3">
        <f t="shared" ref="DJ85:DJ122" si="69">-2*CK85</f>
        <v>-79.666980780000003</v>
      </c>
      <c r="DT85" s="3">
        <f t="shared" si="60"/>
        <v>-108618.62790000001</v>
      </c>
      <c r="DU85" s="3">
        <f t="shared" si="61"/>
        <v>-25621.28556</v>
      </c>
      <c r="DV85" s="3">
        <f t="shared" si="62"/>
        <v>-21937.210130000003</v>
      </c>
      <c r="DW85" s="3">
        <f t="shared" si="66"/>
        <v>-8363.4337959999993</v>
      </c>
      <c r="DX85" s="3">
        <f t="shared" si="67"/>
        <v>-7323.4176070000003</v>
      </c>
      <c r="DY85" s="3">
        <f t="shared" si="40"/>
        <v>-6522.7557619999989</v>
      </c>
      <c r="DZ85" s="3">
        <f t="shared" si="39"/>
        <v>-2767.3389619999998</v>
      </c>
      <c r="EA85" s="3">
        <f t="shared" si="46"/>
        <v>-2370.0143893333334</v>
      </c>
      <c r="EB85" s="3">
        <f t="shared" si="65"/>
        <v>-1955.5338177999997</v>
      </c>
      <c r="EC85" s="3">
        <f t="shared" si="45"/>
        <v>-1514.5234861428569</v>
      </c>
      <c r="ED85" s="3">
        <f t="shared" si="68"/>
        <v>-679.20174669999994</v>
      </c>
      <c r="EE85" s="3">
        <f t="shared" si="38"/>
        <v>-515.03574906666665</v>
      </c>
      <c r="EF85" s="3">
        <f t="shared" si="64"/>
        <v>-282.68619594</v>
      </c>
      <c r="EH85" s="3">
        <f t="shared" si="42"/>
        <v>-80.998841959999993</v>
      </c>
      <c r="EI85" s="3">
        <f t="shared" ref="EI85:EI99" si="70">-1*CK85</f>
        <v>-39.833490390000001</v>
      </c>
      <c r="ES85" s="3">
        <v>6.1075052000000012</v>
      </c>
      <c r="ET85" s="3">
        <v>20.427444000000001</v>
      </c>
      <c r="EV85" s="3">
        <v>29.827592000000003</v>
      </c>
      <c r="FC85" s="32">
        <v>145.6866</v>
      </c>
      <c r="FD85" s="16"/>
    </row>
    <row r="86" spans="3:160" ht="16" x14ac:dyDescent="0.2">
      <c r="C86" s="7" t="s">
        <v>82</v>
      </c>
      <c r="D86" s="3">
        <v>82</v>
      </c>
      <c r="E86" s="3">
        <v>207.04</v>
      </c>
      <c r="F86" s="3">
        <v>2.62</v>
      </c>
      <c r="G86" s="3">
        <v>1.87</v>
      </c>
      <c r="H86" s="3">
        <v>11.342000000000001</v>
      </c>
      <c r="I86" s="3">
        <v>600.61</v>
      </c>
      <c r="J86" s="3">
        <v>2022</v>
      </c>
      <c r="K86" s="28">
        <v>81.203999999999994</v>
      </c>
      <c r="L86" s="28">
        <v>78.206999999999994</v>
      </c>
      <c r="M86" s="28">
        <v>76.236666666666665</v>
      </c>
      <c r="N86" s="28">
        <v>71.456000000000003</v>
      </c>
      <c r="O86" s="28">
        <v>68.073333333333338</v>
      </c>
      <c r="P86" s="28">
        <v>64.345200000000006</v>
      </c>
      <c r="Q86" s="28">
        <v>59.744999999999997</v>
      </c>
      <c r="R86" s="28">
        <v>55.082999999999998</v>
      </c>
      <c r="S86" s="28">
        <v>48.345199999999998</v>
      </c>
      <c r="T86" s="28">
        <v>39.641857142857141</v>
      </c>
      <c r="U86" s="28">
        <v>42.581000000000003</v>
      </c>
      <c r="V86" s="28">
        <v>36.85</v>
      </c>
      <c r="W86" s="28">
        <v>26.561400000000003</v>
      </c>
      <c r="X86" s="28"/>
      <c r="Y86" s="28">
        <v>22.352</v>
      </c>
      <c r="Z86" s="28">
        <v>16.620999999999999</v>
      </c>
      <c r="AA86" s="28"/>
      <c r="AB86" s="28"/>
      <c r="AC86" s="28"/>
      <c r="AD86" s="23"/>
      <c r="AE86" s="23"/>
      <c r="AF86" s="23"/>
      <c r="AG86" s="23"/>
      <c r="AH86" s="23"/>
      <c r="AI86" s="23"/>
      <c r="AP86" s="24">
        <v>0.52900000000000003</v>
      </c>
      <c r="AQ86" s="24">
        <v>3.0152999999999999</v>
      </c>
      <c r="AR86" s="24">
        <v>2.5039333333333333</v>
      </c>
      <c r="AS86" s="24">
        <v>8.5168999999999997</v>
      </c>
      <c r="AT86" s="24">
        <v>8.5168999999999997</v>
      </c>
      <c r="AU86" s="24">
        <v>6.95106</v>
      </c>
      <c r="AV86" s="24">
        <v>19.255599999999998</v>
      </c>
      <c r="AW86" s="24">
        <v>20.207799999999999</v>
      </c>
      <c r="AX86" s="24">
        <v>20.631</v>
      </c>
      <c r="AY86" s="24">
        <v>18.613242857142858</v>
      </c>
      <c r="AZ86" s="24">
        <v>42.161300000000004</v>
      </c>
      <c r="BA86" s="24">
        <v>46.798866666666662</v>
      </c>
      <c r="BB86" s="24">
        <v>56.708799999999997</v>
      </c>
      <c r="BC86" s="24"/>
      <c r="BD86" s="24">
        <v>107.17539999999998</v>
      </c>
      <c r="BE86" s="24">
        <v>139.1799</v>
      </c>
      <c r="BF86" s="24"/>
      <c r="BG86" s="24"/>
      <c r="BH86" s="24"/>
      <c r="BO86" s="3">
        <v>249.00000000000003</v>
      </c>
      <c r="BP86" s="3">
        <v>260</v>
      </c>
      <c r="BQ86" s="3" t="s">
        <v>156</v>
      </c>
      <c r="BR86" s="3">
        <v>146</v>
      </c>
      <c r="BS86" s="3">
        <v>154</v>
      </c>
      <c r="BV86" s="3">
        <v>112056.2638</v>
      </c>
      <c r="BW86" s="3">
        <v>26508.139660000001</v>
      </c>
      <c r="BX86" s="3">
        <v>22596.697246666667</v>
      </c>
      <c r="BY86" s="3">
        <v>8664.7304829999994</v>
      </c>
      <c r="BZ86" s="3">
        <v>7563.5211529999988</v>
      </c>
      <c r="CA86" s="3">
        <v>6722.1846749999995</v>
      </c>
      <c r="CB86" s="3">
        <v>2882.9114239999999</v>
      </c>
      <c r="CC86" s="3">
        <v>2465.1124983333334</v>
      </c>
      <c r="CD86" s="3">
        <v>2036.2367468</v>
      </c>
      <c r="CE86" s="3">
        <v>1593.2920032857144</v>
      </c>
      <c r="CF86" s="3">
        <v>725.08296989999997</v>
      </c>
      <c r="CG86" s="3">
        <v>554.28633803333332</v>
      </c>
      <c r="CH86" s="3">
        <v>318.54425282</v>
      </c>
      <c r="CJ86" s="3">
        <v>97.138898780000005</v>
      </c>
      <c r="CK86" s="3">
        <v>49.232528226666666</v>
      </c>
      <c r="CU86" s="3">
        <f t="shared" si="47"/>
        <v>-224112.5276</v>
      </c>
      <c r="CV86" s="3">
        <f t="shared" si="48"/>
        <v>-53016.279320000001</v>
      </c>
      <c r="CW86" s="3">
        <f t="shared" si="49"/>
        <v>-45193.394493333333</v>
      </c>
      <c r="CX86" s="3">
        <f t="shared" si="50"/>
        <v>-17329.460965999999</v>
      </c>
      <c r="CY86" s="3">
        <f t="shared" si="51"/>
        <v>-15127.042305999998</v>
      </c>
      <c r="CZ86" s="3">
        <f t="shared" si="52"/>
        <v>-13444.369349999999</v>
      </c>
      <c r="DA86" s="3">
        <f t="shared" si="53"/>
        <v>-5765.8228479999998</v>
      </c>
      <c r="DB86" s="3">
        <f t="shared" si="54"/>
        <v>-4930.2249966666668</v>
      </c>
      <c r="DC86" s="3">
        <f t="shared" si="55"/>
        <v>-4072.4734936</v>
      </c>
      <c r="DD86" s="3">
        <f t="shared" si="56"/>
        <v>-3186.5840065714287</v>
      </c>
      <c r="DE86" s="3">
        <f t="shared" si="57"/>
        <v>-1450.1659397999999</v>
      </c>
      <c r="DF86" s="3">
        <f t="shared" si="58"/>
        <v>-1108.5726760666666</v>
      </c>
      <c r="DG86" s="3">
        <f t="shared" si="63"/>
        <v>-637.08850563999999</v>
      </c>
      <c r="DI86" s="3">
        <f t="shared" si="59"/>
        <v>-194.27779756000001</v>
      </c>
      <c r="DJ86" s="3">
        <f t="shared" si="69"/>
        <v>-98.465056453333332</v>
      </c>
      <c r="DT86" s="3">
        <f t="shared" si="60"/>
        <v>-112056.2638</v>
      </c>
      <c r="DU86" s="3">
        <f t="shared" si="61"/>
        <v>-26508.139660000001</v>
      </c>
      <c r="DV86" s="3">
        <f t="shared" si="62"/>
        <v>-22596.697246666667</v>
      </c>
      <c r="DW86" s="3">
        <f t="shared" si="66"/>
        <v>-8664.7304829999994</v>
      </c>
      <c r="DX86" s="3">
        <f t="shared" si="67"/>
        <v>-7563.5211529999988</v>
      </c>
      <c r="DY86" s="3">
        <f t="shared" si="40"/>
        <v>-6722.1846749999995</v>
      </c>
      <c r="DZ86" s="3">
        <f t="shared" si="39"/>
        <v>-2882.9114239999999</v>
      </c>
      <c r="EA86" s="3">
        <f t="shared" si="46"/>
        <v>-2465.1124983333334</v>
      </c>
      <c r="EB86" s="3">
        <f t="shared" si="65"/>
        <v>-2036.2367468</v>
      </c>
      <c r="EC86" s="3">
        <f t="shared" si="45"/>
        <v>-1593.2920032857144</v>
      </c>
      <c r="ED86" s="3">
        <f t="shared" si="68"/>
        <v>-725.08296989999997</v>
      </c>
      <c r="EE86" s="3">
        <f t="shared" si="38"/>
        <v>-554.28633803333332</v>
      </c>
      <c r="EF86" s="3">
        <f t="shared" si="64"/>
        <v>-318.54425282</v>
      </c>
      <c r="EH86" s="3">
        <f t="shared" si="42"/>
        <v>-97.138898780000005</v>
      </c>
      <c r="EI86" s="3">
        <f t="shared" si="70"/>
        <v>-49.232528226666666</v>
      </c>
      <c r="ES86" s="3">
        <v>7.4154420000000005</v>
      </c>
      <c r="ET86" s="3">
        <v>15.0319456</v>
      </c>
      <c r="EV86" s="3">
        <v>31.936666000000002</v>
      </c>
      <c r="EW86" s="3">
        <v>42.316212000000007</v>
      </c>
      <c r="EX86" s="3">
        <v>68.816960000000009</v>
      </c>
      <c r="FC86" s="32">
        <v>139.1799</v>
      </c>
      <c r="FD86" s="16"/>
    </row>
    <row r="87" spans="3:160" ht="16" x14ac:dyDescent="0.2">
      <c r="C87" s="7" t="s">
        <v>83</v>
      </c>
      <c r="D87" s="3">
        <v>83</v>
      </c>
      <c r="E87" s="3">
        <v>208.9804</v>
      </c>
      <c r="F87" s="3">
        <v>2.69</v>
      </c>
      <c r="G87" s="3">
        <v>2.02</v>
      </c>
      <c r="H87" s="3">
        <v>9.8070000000000004</v>
      </c>
      <c r="I87" s="3">
        <v>544.54999999999995</v>
      </c>
      <c r="J87" s="3">
        <v>1837</v>
      </c>
      <c r="K87" s="28">
        <v>82.2</v>
      </c>
      <c r="L87" s="28">
        <v>79.221999999999994</v>
      </c>
      <c r="M87" s="28">
        <v>77.227999999999994</v>
      </c>
      <c r="N87" s="28">
        <v>72.489000000000004</v>
      </c>
      <c r="O87" s="28">
        <v>69.060333333333332</v>
      </c>
      <c r="P87" s="28">
        <v>65.301600000000008</v>
      </c>
      <c r="Q87" s="28">
        <v>60.787999999999997</v>
      </c>
      <c r="R87" s="28">
        <v>56.064</v>
      </c>
      <c r="S87" s="28">
        <v>49.305199999999999</v>
      </c>
      <c r="T87" s="28">
        <v>40.766285714285722</v>
      </c>
      <c r="U87" s="28">
        <v>43.738</v>
      </c>
      <c r="V87" s="28">
        <v>38.004333333333335</v>
      </c>
      <c r="W87" s="28">
        <v>28.0062</v>
      </c>
      <c r="X87" s="28"/>
      <c r="Y87" s="28">
        <v>23.876999999999999</v>
      </c>
      <c r="Z87" s="28">
        <v>17.556666666666668</v>
      </c>
      <c r="AA87" s="28"/>
      <c r="AB87" s="28"/>
      <c r="AC87" s="28"/>
      <c r="AD87" s="23"/>
      <c r="AE87" s="23"/>
      <c r="AF87" s="23"/>
      <c r="AG87" s="23"/>
      <c r="AH87" s="23"/>
      <c r="AI87" s="23"/>
      <c r="AP87" s="24">
        <v>0.52900000000000003</v>
      </c>
      <c r="AQ87" s="24">
        <v>3.0152999999999999</v>
      </c>
      <c r="AR87" s="24">
        <v>2.4510333333333336</v>
      </c>
      <c r="AS87" s="24">
        <v>8.4110999999999994</v>
      </c>
      <c r="AT87" s="24">
        <v>8.3934666666666669</v>
      </c>
      <c r="AU87" s="24">
        <v>6.8452600000000006</v>
      </c>
      <c r="AV87" s="24">
        <v>18.885299999999997</v>
      </c>
      <c r="AW87" s="24">
        <v>19.872766666666667</v>
      </c>
      <c r="AX87" s="24">
        <v>20.228959999999997</v>
      </c>
      <c r="AY87" s="24">
        <v>18.212714285714288</v>
      </c>
      <c r="AZ87" s="24">
        <v>41.156199999999998</v>
      </c>
      <c r="BA87" s="24">
        <v>45.652700000000003</v>
      </c>
      <c r="BB87" s="24">
        <v>54.66686</v>
      </c>
      <c r="BC87" s="24"/>
      <c r="BD87" s="24">
        <v>101.568</v>
      </c>
      <c r="BE87" s="24">
        <v>131.0333</v>
      </c>
      <c r="BF87" s="24"/>
      <c r="BG87" s="24"/>
      <c r="BH87" s="24"/>
      <c r="BO87" s="3">
        <v>250</v>
      </c>
      <c r="BP87" s="3">
        <v>254</v>
      </c>
      <c r="BQ87" s="3" t="s">
        <v>156</v>
      </c>
      <c r="BR87" s="3">
        <v>148</v>
      </c>
      <c r="BS87" s="3">
        <v>143</v>
      </c>
      <c r="BV87" s="3">
        <v>115586.3558</v>
      </c>
      <c r="BW87" s="3">
        <v>27422.035349999998</v>
      </c>
      <c r="BX87" s="3">
        <v>23270.619823333331</v>
      </c>
      <c r="BY87" s="3">
        <v>8974.8314129999999</v>
      </c>
      <c r="BZ87" s="3">
        <v>7809.0172689999999</v>
      </c>
      <c r="CA87" s="3">
        <v>6924.8247485999991</v>
      </c>
      <c r="CB87" s="3">
        <v>3002.3057239999998</v>
      </c>
      <c r="CC87" s="3">
        <v>2562.8972406666667</v>
      </c>
      <c r="CD87" s="3">
        <v>2118.8724788</v>
      </c>
      <c r="CE87" s="3">
        <v>1673.5097361428573</v>
      </c>
      <c r="CF87" s="3">
        <v>773.07283040000004</v>
      </c>
      <c r="CG87" s="3">
        <v>595.19662186666665</v>
      </c>
      <c r="CH87" s="3">
        <v>355.78869161999995</v>
      </c>
      <c r="CJ87" s="3">
        <v>114.11013</v>
      </c>
      <c r="CK87" s="3">
        <v>57.671970219999999</v>
      </c>
      <c r="CU87" s="3">
        <f t="shared" si="47"/>
        <v>-231172.71160000001</v>
      </c>
      <c r="CV87" s="3">
        <f t="shared" si="48"/>
        <v>-54844.070699999997</v>
      </c>
      <c r="CW87" s="3">
        <f t="shared" si="49"/>
        <v>-46541.239646666661</v>
      </c>
      <c r="CX87" s="3">
        <f t="shared" si="50"/>
        <v>-17949.662826</v>
      </c>
      <c r="CY87" s="3">
        <f t="shared" si="51"/>
        <v>-15618.034538</v>
      </c>
      <c r="CZ87" s="3">
        <f t="shared" si="52"/>
        <v>-13849.649497199998</v>
      </c>
      <c r="DA87" s="3">
        <f t="shared" si="53"/>
        <v>-6004.6114479999997</v>
      </c>
      <c r="DB87" s="3">
        <f t="shared" si="54"/>
        <v>-5125.7944813333334</v>
      </c>
      <c r="DC87" s="3">
        <f t="shared" si="55"/>
        <v>-4237.7449575999999</v>
      </c>
      <c r="DD87" s="3">
        <f t="shared" si="56"/>
        <v>-3347.0194722857145</v>
      </c>
      <c r="DE87" s="3">
        <f t="shared" si="57"/>
        <v>-1546.1456608000001</v>
      </c>
      <c r="DF87" s="3">
        <f t="shared" si="58"/>
        <v>-1190.3932437333333</v>
      </c>
      <c r="DG87" s="3">
        <f t="shared" si="63"/>
        <v>-711.5773832399999</v>
      </c>
      <c r="DI87" s="3">
        <f t="shared" si="59"/>
        <v>-228.22026</v>
      </c>
      <c r="DJ87" s="3">
        <f t="shared" si="69"/>
        <v>-115.34394044</v>
      </c>
      <c r="DT87" s="3">
        <f t="shared" si="60"/>
        <v>-115586.3558</v>
      </c>
      <c r="DU87" s="3">
        <f t="shared" si="61"/>
        <v>-27422.035349999998</v>
      </c>
      <c r="DV87" s="3">
        <f t="shared" si="62"/>
        <v>-23270.619823333331</v>
      </c>
      <c r="DW87" s="3">
        <f t="shared" si="66"/>
        <v>-8974.8314129999999</v>
      </c>
      <c r="DX87" s="3">
        <f t="shared" si="67"/>
        <v>-7809.0172689999999</v>
      </c>
      <c r="DY87" s="3">
        <f t="shared" si="40"/>
        <v>-6924.8247485999991</v>
      </c>
      <c r="DZ87" s="3">
        <f t="shared" ref="DZ87:DZ99" si="71">-1*CB87</f>
        <v>-3002.3057239999998</v>
      </c>
      <c r="EA87" s="3">
        <f t="shared" si="46"/>
        <v>-2562.8972406666667</v>
      </c>
      <c r="EB87" s="3">
        <f t="shared" si="65"/>
        <v>-2118.8724788</v>
      </c>
      <c r="EC87" s="3">
        <f t="shared" si="45"/>
        <v>-1673.5097361428573</v>
      </c>
      <c r="ED87" s="3">
        <f t="shared" si="68"/>
        <v>-773.07283040000004</v>
      </c>
      <c r="EE87" s="3">
        <f t="shared" si="38"/>
        <v>-595.19662186666665</v>
      </c>
      <c r="EF87" s="3">
        <f t="shared" si="64"/>
        <v>-355.78869161999995</v>
      </c>
      <c r="EH87" s="3">
        <f t="shared" si="42"/>
        <v>-114.11013</v>
      </c>
      <c r="EI87" s="3">
        <f t="shared" si="70"/>
        <v>-57.671970219999999</v>
      </c>
      <c r="ES87" s="3">
        <v>7.2890012000000013</v>
      </c>
      <c r="ET87" s="3">
        <v>16.686040000000002</v>
      </c>
      <c r="EV87" s="3">
        <v>25.557624000000004</v>
      </c>
      <c r="EW87" s="3">
        <v>45.290680000000002</v>
      </c>
      <c r="EX87" s="3">
        <v>55.965600000000009</v>
      </c>
      <c r="EY87" s="3">
        <v>89.337679999999992</v>
      </c>
      <c r="FC87" s="32">
        <v>131.0333</v>
      </c>
      <c r="FD87" s="16"/>
    </row>
    <row r="88" spans="3:160" ht="16" x14ac:dyDescent="0.2">
      <c r="C88" s="7" t="s">
        <v>84</v>
      </c>
      <c r="D88" s="3">
        <v>84</v>
      </c>
      <c r="F88" s="3">
        <v>2.85</v>
      </c>
      <c r="G88" s="3">
        <v>2</v>
      </c>
      <c r="H88" s="3">
        <v>9.32</v>
      </c>
      <c r="I88" s="3">
        <v>527</v>
      </c>
      <c r="J88" s="3">
        <v>1235</v>
      </c>
      <c r="K88" s="28">
        <v>83.197000000000003</v>
      </c>
      <c r="L88" s="28">
        <v>80.238</v>
      </c>
      <c r="M88" s="28">
        <v>78.219666666666669</v>
      </c>
      <c r="N88" s="28">
        <v>73.525000000000006</v>
      </c>
      <c r="O88" s="28">
        <v>70.048333333333332</v>
      </c>
      <c r="P88" s="28">
        <v>66.258400000000009</v>
      </c>
      <c r="Q88" s="28">
        <v>61.835999999999999</v>
      </c>
      <c r="R88" s="28">
        <v>57.04933333333333</v>
      </c>
      <c r="S88" s="28">
        <v>50.267199999999995</v>
      </c>
      <c r="T88" s="28">
        <v>41.880142857142857</v>
      </c>
      <c r="U88" s="28">
        <v>44.902000000000001</v>
      </c>
      <c r="V88" s="28">
        <v>39.152666666666669</v>
      </c>
      <c r="W88" s="28">
        <v>29.362200000000001</v>
      </c>
      <c r="X88" s="28"/>
      <c r="Y88" s="28">
        <v>25.292999999999999</v>
      </c>
      <c r="Z88" s="28">
        <v>18.795333333333332</v>
      </c>
      <c r="AA88" s="28"/>
      <c r="AB88" s="28"/>
      <c r="AC88" s="28"/>
      <c r="AD88" s="23"/>
      <c r="AE88" s="23"/>
      <c r="AF88" s="23"/>
      <c r="AG88" s="23"/>
      <c r="AH88" s="23"/>
      <c r="AI88" s="23"/>
      <c r="AP88" s="24">
        <v>0.47609999999999997</v>
      </c>
      <c r="AQ88" s="24">
        <v>2.9624000000000001</v>
      </c>
      <c r="AR88" s="24">
        <v>2.4510333333333336</v>
      </c>
      <c r="AS88" s="24">
        <v>8.2523999999999997</v>
      </c>
      <c r="AT88" s="24">
        <v>8.2523999999999997</v>
      </c>
      <c r="AU88" s="24">
        <v>6.7712000000000003</v>
      </c>
      <c r="AV88" s="24">
        <v>18.567899999999998</v>
      </c>
      <c r="AW88" s="24">
        <v>19.555366666666668</v>
      </c>
      <c r="AX88" s="24">
        <v>19.8904</v>
      </c>
      <c r="AY88" s="24">
        <v>17.789514285714287</v>
      </c>
      <c r="AZ88" s="24">
        <v>40.1511</v>
      </c>
      <c r="BA88" s="24">
        <v>44.488900000000001</v>
      </c>
      <c r="BB88" s="24">
        <v>52.836519999999993</v>
      </c>
      <c r="BC88" s="24"/>
      <c r="BD88" s="24">
        <v>96.859899999999996</v>
      </c>
      <c r="BE88" s="24">
        <v>122.79853333333334</v>
      </c>
      <c r="BF88" s="24"/>
      <c r="BG88" s="24"/>
      <c r="BH88" s="24"/>
      <c r="BO88" s="3">
        <v>250</v>
      </c>
      <c r="BQ88" s="3" t="s">
        <v>156</v>
      </c>
      <c r="BR88" s="3">
        <v>140</v>
      </c>
      <c r="BS88" s="3">
        <v>135</v>
      </c>
      <c r="BV88" s="3">
        <v>119213.2822</v>
      </c>
      <c r="BW88" s="3">
        <v>28364.232230000001</v>
      </c>
      <c r="BX88" s="3">
        <v>23959.381666666668</v>
      </c>
      <c r="BY88" s="3">
        <v>9294.0710149999995</v>
      </c>
      <c r="BZ88" s="3">
        <v>8060.0440993333332</v>
      </c>
      <c r="CA88" s="3">
        <v>7130.6892072000001</v>
      </c>
      <c r="CB88" s="3">
        <v>3125.588804</v>
      </c>
      <c r="CC88" s="3">
        <v>2663.3921649999997</v>
      </c>
      <c r="CD88" s="3">
        <v>2203.3908411999996</v>
      </c>
      <c r="CE88" s="3">
        <v>1755.2102874285715</v>
      </c>
      <c r="CF88" s="3">
        <v>823.3282835</v>
      </c>
      <c r="CG88" s="3">
        <v>637.83648853333341</v>
      </c>
      <c r="CH88" s="3">
        <v>393.42855528000001</v>
      </c>
      <c r="CJ88" s="3">
        <v>131.3895411</v>
      </c>
      <c r="CK88" s="3">
        <v>69.563816633333332</v>
      </c>
      <c r="CU88" s="3">
        <f t="shared" si="47"/>
        <v>-238426.5644</v>
      </c>
      <c r="CV88" s="3">
        <f t="shared" si="48"/>
        <v>-56728.464460000003</v>
      </c>
      <c r="CW88" s="3">
        <f t="shared" si="49"/>
        <v>-47918.763333333336</v>
      </c>
      <c r="CX88" s="3">
        <f t="shared" si="50"/>
        <v>-18588.142029999999</v>
      </c>
      <c r="CY88" s="3">
        <f t="shared" si="51"/>
        <v>-16120.088198666666</v>
      </c>
      <c r="CZ88" s="3">
        <f t="shared" si="52"/>
        <v>-14261.3784144</v>
      </c>
      <c r="DA88" s="3">
        <f t="shared" si="53"/>
        <v>-6251.177608</v>
      </c>
      <c r="DB88" s="3">
        <f t="shared" si="54"/>
        <v>-5326.7843299999995</v>
      </c>
      <c r="DC88" s="3">
        <f t="shared" si="55"/>
        <v>-4406.7816823999992</v>
      </c>
      <c r="DD88" s="3">
        <f t="shared" si="56"/>
        <v>-3510.420574857143</v>
      </c>
      <c r="DE88" s="3">
        <f t="shared" si="57"/>
        <v>-1646.656567</v>
      </c>
      <c r="DF88" s="3">
        <f t="shared" si="58"/>
        <v>-1275.6729770666668</v>
      </c>
      <c r="DG88" s="3">
        <f t="shared" si="63"/>
        <v>-786.85711056000002</v>
      </c>
      <c r="DI88" s="3">
        <f t="shared" si="59"/>
        <v>-262.7790822</v>
      </c>
      <c r="DJ88" s="3">
        <f t="shared" si="69"/>
        <v>-139.12763326666666</v>
      </c>
      <c r="DT88" s="3">
        <f t="shared" si="60"/>
        <v>-119213.2822</v>
      </c>
      <c r="DU88" s="3">
        <f t="shared" si="61"/>
        <v>-28364.232230000001</v>
      </c>
      <c r="DV88" s="3">
        <f t="shared" si="62"/>
        <v>-23959.381666666668</v>
      </c>
      <c r="DW88" s="3">
        <f t="shared" si="66"/>
        <v>-9294.0710149999995</v>
      </c>
      <c r="DX88" s="3">
        <f t="shared" si="67"/>
        <v>-8060.0440993333332</v>
      </c>
      <c r="DY88" s="3">
        <f t="shared" si="40"/>
        <v>-7130.6892072000001</v>
      </c>
      <c r="DZ88" s="3">
        <f t="shared" si="71"/>
        <v>-3125.588804</v>
      </c>
      <c r="EA88" s="3">
        <f t="shared" si="46"/>
        <v>-2663.3921649999997</v>
      </c>
      <c r="EB88" s="3">
        <f t="shared" si="65"/>
        <v>-2203.3908411999996</v>
      </c>
      <c r="EC88" s="3">
        <f t="shared" si="45"/>
        <v>-1755.2102874285715</v>
      </c>
      <c r="ED88" s="3">
        <f t="shared" si="68"/>
        <v>-823.3282835</v>
      </c>
      <c r="EE88" s="3">
        <f t="shared" si="38"/>
        <v>-637.83648853333341</v>
      </c>
      <c r="EF88" s="3">
        <f t="shared" si="64"/>
        <v>-393.42855528000001</v>
      </c>
      <c r="EH88" s="3">
        <f t="shared" si="42"/>
        <v>-131.3895411</v>
      </c>
      <c r="EI88" s="3">
        <f t="shared" si="70"/>
        <v>-69.563816633333332</v>
      </c>
      <c r="ES88" s="3">
        <v>8.4155680000000004</v>
      </c>
      <c r="FC88" s="32">
        <v>122.79853333333334</v>
      </c>
      <c r="FD88" s="16"/>
    </row>
    <row r="89" spans="3:160" ht="16" x14ac:dyDescent="0.2">
      <c r="C89" s="7" t="s">
        <v>85</v>
      </c>
      <c r="D89" s="3">
        <v>85</v>
      </c>
      <c r="F89" s="3">
        <v>3.04</v>
      </c>
      <c r="G89" s="3">
        <v>2.2000000000000002</v>
      </c>
      <c r="H89" s="3">
        <v>7</v>
      </c>
      <c r="I89" s="3">
        <v>575</v>
      </c>
      <c r="K89" s="28">
        <v>84.191999999999993</v>
      </c>
      <c r="L89" s="28">
        <v>81.254000000000005</v>
      </c>
      <c r="M89" s="28">
        <v>79.211333333333343</v>
      </c>
      <c r="N89" s="28">
        <v>74.561999999999998</v>
      </c>
      <c r="O89" s="28">
        <v>71.037666666666667</v>
      </c>
      <c r="P89" s="28">
        <v>67.21520000000001</v>
      </c>
      <c r="Q89" s="28">
        <v>62.887999999999998</v>
      </c>
      <c r="R89" s="28">
        <v>58.038666666666664</v>
      </c>
      <c r="S89" s="28">
        <v>51.23</v>
      </c>
      <c r="T89" s="28">
        <v>42.982999999999997</v>
      </c>
      <c r="U89" s="28">
        <v>46.069000000000003</v>
      </c>
      <c r="V89" s="28">
        <v>40.29933333333333</v>
      </c>
      <c r="W89" s="28">
        <v>30.6692</v>
      </c>
      <c r="X89" s="28"/>
      <c r="Y89" s="28">
        <v>26.64</v>
      </c>
      <c r="Z89" s="28">
        <v>20.146000000000001</v>
      </c>
      <c r="AA89" s="28"/>
      <c r="AB89" s="28"/>
      <c r="AC89" s="28"/>
      <c r="AD89" s="23"/>
      <c r="AE89" s="23"/>
      <c r="AF89" s="23"/>
      <c r="AG89" s="23"/>
      <c r="AH89" s="23"/>
      <c r="AI89" s="23"/>
      <c r="AP89" s="24">
        <v>0.47609999999999997</v>
      </c>
      <c r="AQ89" s="24">
        <v>2.9095</v>
      </c>
      <c r="AR89" s="24">
        <v>2.3981333333333335</v>
      </c>
      <c r="AS89" s="24">
        <v>8.1465999999999994</v>
      </c>
      <c r="AT89" s="24">
        <v>8.1289666666666651</v>
      </c>
      <c r="AU89" s="24">
        <v>6.6654</v>
      </c>
      <c r="AV89" s="24">
        <v>18.250499999999999</v>
      </c>
      <c r="AW89" s="24">
        <v>19.185066666666668</v>
      </c>
      <c r="AX89" s="24">
        <v>19.541260000000001</v>
      </c>
      <c r="AY89" s="24">
        <v>17.419214285714286</v>
      </c>
      <c r="AZ89" s="24">
        <v>39.251799999999996</v>
      </c>
      <c r="BA89" s="24">
        <v>43.413266666666658</v>
      </c>
      <c r="BB89" s="24">
        <v>51.143719999999995</v>
      </c>
      <c r="BC89" s="24"/>
      <c r="BD89" s="24">
        <v>92.733699999999985</v>
      </c>
      <c r="BE89" s="24">
        <v>115.41016666666667</v>
      </c>
      <c r="BF89" s="24"/>
      <c r="BG89" s="24"/>
      <c r="BH89" s="24"/>
      <c r="BO89" s="3">
        <v>247.00000000000003</v>
      </c>
      <c r="BQ89" s="3" t="s">
        <v>156</v>
      </c>
      <c r="BR89" s="3">
        <v>150</v>
      </c>
      <c r="BS89" s="3">
        <v>127</v>
      </c>
      <c r="BV89" s="3">
        <v>122934.12059999999</v>
      </c>
      <c r="BW89" s="3">
        <v>29334.75345</v>
      </c>
      <c r="BX89" s="3">
        <v>24663.380626666665</v>
      </c>
      <c r="BY89" s="3">
        <v>9622.5151389999992</v>
      </c>
      <c r="BZ89" s="3">
        <v>8316.7239129999998</v>
      </c>
      <c r="CA89" s="3">
        <v>7339.7981889999992</v>
      </c>
      <c r="CB89" s="3">
        <v>3252.8104589999998</v>
      </c>
      <c r="CC89" s="3">
        <v>2766.6438383333334</v>
      </c>
      <c r="CD89" s="3">
        <v>2289.8145228000003</v>
      </c>
      <c r="CE89" s="3">
        <v>1838.3861818571427</v>
      </c>
      <c r="CF89" s="3">
        <v>875.68821060000005</v>
      </c>
      <c r="CG89" s="3">
        <v>682.18801470000005</v>
      </c>
      <c r="CH89" s="3">
        <v>432.02284748</v>
      </c>
      <c r="CJ89" s="3">
        <v>148.97236179999999</v>
      </c>
      <c r="CK89" s="3">
        <v>83.256441680000009</v>
      </c>
      <c r="CU89" s="3">
        <f t="shared" si="47"/>
        <v>-245868.24119999999</v>
      </c>
      <c r="CV89" s="3">
        <f t="shared" si="48"/>
        <v>-58669.5069</v>
      </c>
      <c r="CW89" s="3">
        <f t="shared" si="49"/>
        <v>-49326.76125333333</v>
      </c>
      <c r="CX89" s="3">
        <f t="shared" si="50"/>
        <v>-19245.030277999998</v>
      </c>
      <c r="CY89" s="3">
        <f t="shared" si="51"/>
        <v>-16633.447826</v>
      </c>
      <c r="CZ89" s="3">
        <f t="shared" si="52"/>
        <v>-14679.596377999998</v>
      </c>
      <c r="DA89" s="3">
        <f t="shared" si="53"/>
        <v>-6505.6209179999996</v>
      </c>
      <c r="DB89" s="3">
        <f t="shared" si="54"/>
        <v>-5533.2876766666668</v>
      </c>
      <c r="DC89" s="3">
        <f t="shared" si="55"/>
        <v>-4579.6290456000006</v>
      </c>
      <c r="DD89" s="3">
        <f t="shared" si="56"/>
        <v>-3676.7723637142853</v>
      </c>
      <c r="DE89" s="3">
        <f t="shared" si="57"/>
        <v>-1751.3764212000001</v>
      </c>
      <c r="DF89" s="3">
        <f t="shared" si="58"/>
        <v>-1364.3760294000001</v>
      </c>
      <c r="DG89" s="3">
        <f t="shared" si="63"/>
        <v>-864.04569495999999</v>
      </c>
      <c r="DI89" s="3">
        <f t="shared" si="59"/>
        <v>-297.94472359999997</v>
      </c>
      <c r="DJ89" s="3">
        <f t="shared" si="69"/>
        <v>-166.51288336000002</v>
      </c>
      <c r="DT89" s="3">
        <f t="shared" si="60"/>
        <v>-122934.12059999999</v>
      </c>
      <c r="DU89" s="3">
        <f t="shared" si="61"/>
        <v>-29334.75345</v>
      </c>
      <c r="DV89" s="3">
        <f t="shared" si="62"/>
        <v>-24663.380626666665</v>
      </c>
      <c r="DW89" s="3">
        <f t="shared" si="66"/>
        <v>-9622.5151389999992</v>
      </c>
      <c r="DX89" s="3">
        <f t="shared" si="67"/>
        <v>-8316.7239129999998</v>
      </c>
      <c r="DY89" s="3">
        <f t="shared" ref="DY89:DY99" si="72">-1*CA89</f>
        <v>-7339.7981889999992</v>
      </c>
      <c r="DZ89" s="3">
        <f t="shared" si="71"/>
        <v>-3252.8104589999998</v>
      </c>
      <c r="EA89" s="3">
        <f t="shared" si="46"/>
        <v>-2766.6438383333334</v>
      </c>
      <c r="EB89" s="3">
        <f t="shared" si="65"/>
        <v>-2289.8145228000003</v>
      </c>
      <c r="EC89" s="3">
        <f t="shared" si="45"/>
        <v>-1838.3861818571427</v>
      </c>
      <c r="ED89" s="3">
        <f t="shared" si="68"/>
        <v>-875.68821060000005</v>
      </c>
      <c r="EE89" s="3">
        <f t="shared" si="38"/>
        <v>-682.18801470000005</v>
      </c>
      <c r="EF89" s="3">
        <f t="shared" si="64"/>
        <v>-432.02284748</v>
      </c>
      <c r="EH89" s="3">
        <f t="shared" si="42"/>
        <v>-148.97236179999999</v>
      </c>
      <c r="EI89" s="3">
        <f t="shared" si="70"/>
        <v>-83.256441680000009</v>
      </c>
      <c r="FC89" s="32">
        <v>115.41016666666667</v>
      </c>
      <c r="FD89" s="16"/>
    </row>
    <row r="90" spans="3:160" ht="16" x14ac:dyDescent="0.2">
      <c r="C90" s="7" t="s">
        <v>86</v>
      </c>
      <c r="D90" s="3">
        <v>86</v>
      </c>
      <c r="F90" s="3">
        <v>3.04</v>
      </c>
      <c r="G90" s="3">
        <v>2.2000000000000002</v>
      </c>
      <c r="H90" s="3">
        <v>9.73</v>
      </c>
      <c r="I90" s="3">
        <v>202</v>
      </c>
      <c r="J90" s="3">
        <v>211.45</v>
      </c>
      <c r="K90" s="28">
        <v>85.186000000000007</v>
      </c>
      <c r="L90" s="28">
        <v>82.27</v>
      </c>
      <c r="M90" s="28">
        <v>80.202999999999989</v>
      </c>
      <c r="N90" s="28">
        <v>75.600999999999999</v>
      </c>
      <c r="O90" s="28">
        <v>72.027666666666661</v>
      </c>
      <c r="P90" s="28">
        <v>68.17240000000001</v>
      </c>
      <c r="Q90" s="28">
        <v>63.945</v>
      </c>
      <c r="R90" s="28">
        <v>59.031000000000006</v>
      </c>
      <c r="S90" s="28">
        <v>52.194399999999995</v>
      </c>
      <c r="T90" s="28">
        <v>44.076428571428572</v>
      </c>
      <c r="U90" s="28">
        <v>47.24</v>
      </c>
      <c r="V90" s="28">
        <v>41.461333333333329</v>
      </c>
      <c r="W90" s="28">
        <v>31.930999999999994</v>
      </c>
      <c r="X90" s="28"/>
      <c r="Y90" s="28">
        <v>27.925000000000001</v>
      </c>
      <c r="Z90" s="28">
        <v>21.483666666666668</v>
      </c>
      <c r="AA90" s="28"/>
      <c r="AB90" s="28"/>
      <c r="AC90" s="28"/>
      <c r="AD90" s="23"/>
      <c r="AE90" s="23"/>
      <c r="AF90" s="23"/>
      <c r="AG90" s="23"/>
      <c r="AH90" s="23"/>
      <c r="AI90" s="23"/>
      <c r="AP90" s="24">
        <v>0.47609999999999997</v>
      </c>
      <c r="AQ90" s="24">
        <v>2.8565999999999998</v>
      </c>
      <c r="AR90" s="24">
        <v>2.3452333333333333</v>
      </c>
      <c r="AS90" s="24">
        <v>7.9878999999999998</v>
      </c>
      <c r="AT90" s="24">
        <v>8.0231666666666666</v>
      </c>
      <c r="AU90" s="24">
        <v>6.5807599999999997</v>
      </c>
      <c r="AV90" s="24">
        <v>17.9331</v>
      </c>
      <c r="AW90" s="24">
        <v>18.902933333333333</v>
      </c>
      <c r="AX90" s="24">
        <v>19.223859999999998</v>
      </c>
      <c r="AY90" s="24">
        <v>17.048914285714286</v>
      </c>
      <c r="AZ90" s="24">
        <v>38.4054</v>
      </c>
      <c r="BA90" s="24">
        <v>42.408166666666666</v>
      </c>
      <c r="BB90" s="24">
        <v>49.57788</v>
      </c>
      <c r="BC90" s="24"/>
      <c r="BD90" s="24">
        <v>89.030699999999996</v>
      </c>
      <c r="BE90" s="24">
        <v>109.15033333333334</v>
      </c>
      <c r="BF90" s="24"/>
      <c r="BG90" s="24"/>
      <c r="BH90" s="24"/>
      <c r="BO90" s="3">
        <v>243.00000000000003</v>
      </c>
      <c r="BQ90" s="3" t="s">
        <v>156</v>
      </c>
      <c r="BR90" s="3">
        <v>150</v>
      </c>
      <c r="BS90" s="3">
        <v>120</v>
      </c>
      <c r="BV90" s="3">
        <v>126752.44650000001</v>
      </c>
      <c r="BW90" s="3">
        <v>30334.7582</v>
      </c>
      <c r="BX90" s="3">
        <v>25383.066576666664</v>
      </c>
      <c r="BY90" s="3">
        <v>9960.493316</v>
      </c>
      <c r="BZ90" s="3">
        <v>8579.1973026666674</v>
      </c>
      <c r="CA90" s="3">
        <v>7552.1680194</v>
      </c>
      <c r="CB90" s="3">
        <v>3384.0656570000001</v>
      </c>
      <c r="CC90" s="3">
        <v>2872.7050143333331</v>
      </c>
      <c r="CD90" s="3">
        <v>2378.1280460000003</v>
      </c>
      <c r="CE90" s="3">
        <v>1923.0412824285715</v>
      </c>
      <c r="CF90" s="3">
        <v>930.15767310000001</v>
      </c>
      <c r="CG90" s="3">
        <v>728.73376706666659</v>
      </c>
      <c r="CH90" s="3">
        <v>471.42703741999992</v>
      </c>
      <c r="CJ90" s="3">
        <v>166.7859133</v>
      </c>
      <c r="CK90" s="3">
        <v>97.150882666666675</v>
      </c>
      <c r="CU90" s="3">
        <f t="shared" si="47"/>
        <v>-253504.89300000001</v>
      </c>
      <c r="CV90" s="3">
        <f t="shared" si="48"/>
        <v>-60669.5164</v>
      </c>
      <c r="CW90" s="3">
        <f t="shared" si="49"/>
        <v>-50766.133153333329</v>
      </c>
      <c r="CX90" s="3">
        <f t="shared" si="50"/>
        <v>-19920.986632</v>
      </c>
      <c r="CY90" s="3">
        <f t="shared" si="51"/>
        <v>-17158.394605333335</v>
      </c>
      <c r="CZ90" s="3">
        <f t="shared" si="52"/>
        <v>-15104.3360388</v>
      </c>
      <c r="DA90" s="3">
        <f t="shared" si="53"/>
        <v>-6768.1313140000002</v>
      </c>
      <c r="DB90" s="3">
        <f t="shared" si="54"/>
        <v>-5745.4100286666662</v>
      </c>
      <c r="DC90" s="3">
        <f t="shared" si="55"/>
        <v>-4756.2560920000005</v>
      </c>
      <c r="DD90" s="3">
        <f t="shared" si="56"/>
        <v>-3846.0825648571431</v>
      </c>
      <c r="DE90" s="3">
        <f t="shared" si="57"/>
        <v>-1860.3153462</v>
      </c>
      <c r="DF90" s="3">
        <f t="shared" si="58"/>
        <v>-1457.4675341333332</v>
      </c>
      <c r="DG90" s="3">
        <f t="shared" si="63"/>
        <v>-942.85407483999984</v>
      </c>
      <c r="DI90" s="3">
        <f t="shared" si="59"/>
        <v>-333.57182660000001</v>
      </c>
      <c r="DJ90" s="3">
        <f t="shared" si="69"/>
        <v>-194.30176533333335</v>
      </c>
      <c r="DT90" s="3">
        <f t="shared" si="60"/>
        <v>-126752.44650000001</v>
      </c>
      <c r="DU90" s="3">
        <f t="shared" si="61"/>
        <v>-30334.7582</v>
      </c>
      <c r="DV90" s="3">
        <f t="shared" si="62"/>
        <v>-25383.066576666664</v>
      </c>
      <c r="DW90" s="3">
        <f t="shared" si="66"/>
        <v>-9960.493316</v>
      </c>
      <c r="DX90" s="3">
        <f t="shared" si="67"/>
        <v>-8579.1973026666674</v>
      </c>
      <c r="DY90" s="3">
        <f t="shared" si="72"/>
        <v>-7552.1680194</v>
      </c>
      <c r="DZ90" s="3">
        <f t="shared" si="71"/>
        <v>-3384.0656570000001</v>
      </c>
      <c r="EA90" s="3">
        <f t="shared" si="46"/>
        <v>-2872.7050143333331</v>
      </c>
      <c r="EB90" s="3">
        <f t="shared" si="65"/>
        <v>-2378.1280460000003</v>
      </c>
      <c r="EC90" s="3">
        <f t="shared" si="45"/>
        <v>-1923.0412824285715</v>
      </c>
      <c r="ED90" s="3">
        <f t="shared" si="68"/>
        <v>-930.15767310000001</v>
      </c>
      <c r="EE90" s="3">
        <f t="shared" si="38"/>
        <v>-728.73376706666659</v>
      </c>
      <c r="EF90" s="3">
        <f t="shared" si="64"/>
        <v>-471.42703741999992</v>
      </c>
      <c r="EH90" s="3">
        <f t="shared" si="42"/>
        <v>-166.7859133</v>
      </c>
      <c r="EI90" s="3">
        <f t="shared" si="70"/>
        <v>-97.150882666666675</v>
      </c>
      <c r="ES90" s="3">
        <v>10.747468</v>
      </c>
      <c r="FC90" s="32">
        <v>109.15033333333334</v>
      </c>
      <c r="FD90" s="16"/>
    </row>
    <row r="91" spans="3:160" ht="16" x14ac:dyDescent="0.2">
      <c r="C91" s="7" t="s">
        <v>87</v>
      </c>
      <c r="D91" s="3">
        <v>87</v>
      </c>
      <c r="F91" s="3">
        <v>2.0099999999999998</v>
      </c>
      <c r="I91" s="3">
        <v>300</v>
      </c>
      <c r="K91" s="28">
        <v>86.182000000000002</v>
      </c>
      <c r="L91" s="28">
        <v>83.287000000000006</v>
      </c>
      <c r="M91" s="28">
        <v>81.194666666666663</v>
      </c>
      <c r="N91" s="28">
        <v>76.641999999999996</v>
      </c>
      <c r="O91" s="28">
        <v>73.018666666666661</v>
      </c>
      <c r="P91" s="28">
        <v>69.129199999999997</v>
      </c>
      <c r="Q91" s="28">
        <v>65.007999999999996</v>
      </c>
      <c r="R91" s="28">
        <v>60.026666666666671</v>
      </c>
      <c r="S91" s="28">
        <v>53.16020000000001</v>
      </c>
      <c r="T91" s="28">
        <v>45.161714285714275</v>
      </c>
      <c r="U91" s="28">
        <v>48.414999999999999</v>
      </c>
      <c r="V91" s="28">
        <v>42.598999999999997</v>
      </c>
      <c r="W91" s="28">
        <v>33.202599999999997</v>
      </c>
      <c r="X91" s="28"/>
      <c r="Y91" s="28">
        <v>29.695</v>
      </c>
      <c r="Z91" s="28">
        <v>23.551333333333332</v>
      </c>
      <c r="AA91" s="28"/>
      <c r="AB91" s="28">
        <v>12.4</v>
      </c>
      <c r="AC91" s="28"/>
      <c r="AD91" s="23"/>
      <c r="AE91" s="23"/>
      <c r="AF91" s="23"/>
      <c r="AG91" s="23"/>
      <c r="AH91" s="23"/>
      <c r="AI91" s="23"/>
      <c r="AP91" s="24">
        <v>0.47609999999999997</v>
      </c>
      <c r="AQ91" s="24">
        <v>2.8036999999999996</v>
      </c>
      <c r="AR91" s="24">
        <v>2.3276000000000003</v>
      </c>
      <c r="AS91" s="24">
        <v>7.8820999999999994</v>
      </c>
      <c r="AT91" s="24">
        <v>7.9173666666666662</v>
      </c>
      <c r="AU91" s="24">
        <v>6.4749600000000003</v>
      </c>
      <c r="AV91" s="24">
        <v>17.6157</v>
      </c>
      <c r="AW91" s="24">
        <v>18.585533333333334</v>
      </c>
      <c r="AX91" s="24">
        <v>18.906459999999999</v>
      </c>
      <c r="AY91" s="24">
        <v>16.708842857142859</v>
      </c>
      <c r="AZ91" s="24">
        <v>37.506099999999996</v>
      </c>
      <c r="BA91" s="24">
        <v>41.403066666666668</v>
      </c>
      <c r="BB91" s="24">
        <v>48.096680000000006</v>
      </c>
      <c r="BC91" s="24"/>
      <c r="BD91" s="24">
        <v>85.116100000000003</v>
      </c>
      <c r="BE91" s="24">
        <v>102.48493333333333</v>
      </c>
      <c r="BF91" s="24"/>
      <c r="BG91" s="24">
        <v>264.07679999999999</v>
      </c>
      <c r="BH91" s="24"/>
      <c r="BO91" s="3">
        <v>258</v>
      </c>
      <c r="BQ91" s="3" t="s">
        <v>156</v>
      </c>
      <c r="BR91" s="3">
        <v>260</v>
      </c>
      <c r="BV91" s="3">
        <v>130686.20570000001</v>
      </c>
      <c r="BW91" s="3">
        <v>31368.058799999999</v>
      </c>
      <c r="BX91" s="3">
        <v>26118.978500000001</v>
      </c>
      <c r="BY91" s="3">
        <v>10309.01917</v>
      </c>
      <c r="BZ91" s="3">
        <v>8847.5908013333337</v>
      </c>
      <c r="CA91" s="3">
        <v>7767.8172565999994</v>
      </c>
      <c r="CB91" s="3">
        <v>3519.7386240000001</v>
      </c>
      <c r="CC91" s="3">
        <v>2981.5037093333335</v>
      </c>
      <c r="CD91" s="3">
        <v>2468.3714274000004</v>
      </c>
      <c r="CE91" s="3">
        <v>2009.2380529999998</v>
      </c>
      <c r="CF91" s="3">
        <v>987.09139849999997</v>
      </c>
      <c r="CG91" s="3">
        <v>776.21403090000001</v>
      </c>
      <c r="CH91" s="3">
        <v>512.56395038000005</v>
      </c>
      <c r="CJ91" s="3">
        <v>193.5757466</v>
      </c>
      <c r="CK91" s="3">
        <v>120.81265946666667</v>
      </c>
      <c r="CM91" s="3">
        <v>14.277245750000001</v>
      </c>
      <c r="CU91" s="3">
        <f t="shared" si="47"/>
        <v>-261372.41140000001</v>
      </c>
      <c r="CV91" s="3">
        <f t="shared" si="48"/>
        <v>-62736.117599999998</v>
      </c>
      <c r="CW91" s="3">
        <f t="shared" si="49"/>
        <v>-52237.957000000002</v>
      </c>
      <c r="CX91" s="3">
        <f t="shared" si="50"/>
        <v>-20618.038339999999</v>
      </c>
      <c r="CY91" s="3">
        <f t="shared" si="51"/>
        <v>-17695.181602666667</v>
      </c>
      <c r="CZ91" s="3">
        <f t="shared" si="52"/>
        <v>-15535.634513199999</v>
      </c>
      <c r="DA91" s="3">
        <f t="shared" si="53"/>
        <v>-7039.4772480000001</v>
      </c>
      <c r="DB91" s="3">
        <f t="shared" si="54"/>
        <v>-5963.007418666667</v>
      </c>
      <c r="DC91" s="3">
        <f t="shared" si="55"/>
        <v>-4936.7428548000007</v>
      </c>
      <c r="DD91" s="3">
        <f t="shared" si="56"/>
        <v>-4018.4761059999996</v>
      </c>
      <c r="DE91" s="3">
        <f t="shared" si="57"/>
        <v>-1974.1827969999999</v>
      </c>
      <c r="DF91" s="3">
        <f t="shared" si="58"/>
        <v>-1552.4280618</v>
      </c>
      <c r="DG91" s="3">
        <f t="shared" si="63"/>
        <v>-1025.1279007600001</v>
      </c>
      <c r="DI91" s="3">
        <f t="shared" si="59"/>
        <v>-387.1514932</v>
      </c>
      <c r="DJ91" s="3">
        <f t="shared" si="69"/>
        <v>-241.62531893333335</v>
      </c>
      <c r="DL91" s="3">
        <f t="shared" ref="DL91:DL122" si="73">-2*CM91</f>
        <v>-28.554491500000001</v>
      </c>
      <c r="DT91" s="3">
        <f t="shared" si="60"/>
        <v>-130686.20570000001</v>
      </c>
      <c r="DU91" s="3">
        <f t="shared" si="61"/>
        <v>-31368.058799999999</v>
      </c>
      <c r="DV91" s="3">
        <f t="shared" si="62"/>
        <v>-26118.978500000001</v>
      </c>
      <c r="DW91" s="3">
        <f t="shared" si="66"/>
        <v>-10309.01917</v>
      </c>
      <c r="DX91" s="3">
        <f t="shared" si="67"/>
        <v>-8847.5908013333337</v>
      </c>
      <c r="DY91" s="3">
        <f t="shared" si="72"/>
        <v>-7767.8172565999994</v>
      </c>
      <c r="DZ91" s="3">
        <f t="shared" si="71"/>
        <v>-3519.7386240000001</v>
      </c>
      <c r="EA91" s="3">
        <f t="shared" si="46"/>
        <v>-2981.5037093333335</v>
      </c>
      <c r="EB91" s="3">
        <f t="shared" si="65"/>
        <v>-2468.3714274000004</v>
      </c>
      <c r="EC91" s="3">
        <f t="shared" si="45"/>
        <v>-2009.2380529999998</v>
      </c>
      <c r="ED91" s="3">
        <f t="shared" si="68"/>
        <v>-987.09139849999997</v>
      </c>
      <c r="EE91" s="3">
        <f t="shared" si="38"/>
        <v>-776.21403090000001</v>
      </c>
      <c r="EF91" s="3">
        <f t="shared" si="64"/>
        <v>-512.56395038000005</v>
      </c>
      <c r="EH91" s="3">
        <f t="shared" si="42"/>
        <v>-193.5757466</v>
      </c>
      <c r="EI91" s="3">
        <f t="shared" si="70"/>
        <v>-120.81265946666667</v>
      </c>
      <c r="EK91" s="3">
        <f t="shared" ref="EK91:EK99" si="74">-1*CM91</f>
        <v>-14.277245750000001</v>
      </c>
      <c r="FC91" s="32">
        <v>264.07679999999999</v>
      </c>
      <c r="FD91" s="16"/>
    </row>
    <row r="92" spans="3:160" ht="16" x14ac:dyDescent="0.2">
      <c r="C92" s="7" t="s">
        <v>88</v>
      </c>
      <c r="D92" s="3">
        <v>88</v>
      </c>
      <c r="F92" s="3">
        <v>2.15</v>
      </c>
      <c r="G92" s="3">
        <v>0.9</v>
      </c>
      <c r="H92" s="3">
        <v>5</v>
      </c>
      <c r="I92" s="3">
        <v>973</v>
      </c>
      <c r="J92" s="3">
        <v>1413</v>
      </c>
      <c r="K92" s="28">
        <v>87.176000000000002</v>
      </c>
      <c r="L92" s="28">
        <v>84.304000000000002</v>
      </c>
      <c r="M92" s="28">
        <v>82.186666666666667</v>
      </c>
      <c r="N92" s="28">
        <v>77.685000000000002</v>
      </c>
      <c r="O92" s="28">
        <v>74.010999999999996</v>
      </c>
      <c r="P92" s="28">
        <v>70.086399999999998</v>
      </c>
      <c r="Q92" s="28">
        <v>66.075999999999993</v>
      </c>
      <c r="R92" s="28">
        <v>61.024333333333338</v>
      </c>
      <c r="S92" s="28">
        <v>54.126999999999995</v>
      </c>
      <c r="T92" s="28">
        <v>46.240571428571421</v>
      </c>
      <c r="U92" s="28">
        <v>49.594000000000001</v>
      </c>
      <c r="V92" s="28">
        <v>43.732999999999997</v>
      </c>
      <c r="W92" s="28">
        <v>34.453199999999995</v>
      </c>
      <c r="X92" s="28"/>
      <c r="Y92" s="28">
        <v>31.411999999999999</v>
      </c>
      <c r="Z92" s="28">
        <v>25.329333333333334</v>
      </c>
      <c r="AA92" s="28"/>
      <c r="AB92" s="28">
        <v>14.583</v>
      </c>
      <c r="AC92" s="28"/>
      <c r="AD92" s="23"/>
      <c r="AE92" s="23"/>
      <c r="AF92" s="23"/>
      <c r="AG92" s="23"/>
      <c r="AH92" s="23"/>
      <c r="AI92" s="23"/>
      <c r="AP92" s="24">
        <v>0.47609999999999997</v>
      </c>
      <c r="AQ92" s="24">
        <v>2.7507999999999999</v>
      </c>
      <c r="AR92" s="24">
        <v>2.2923333333333336</v>
      </c>
      <c r="AS92" s="24">
        <v>7.7233999999999989</v>
      </c>
      <c r="AT92" s="24">
        <v>7.7939333333333325</v>
      </c>
      <c r="AU92" s="24">
        <v>6.4009</v>
      </c>
      <c r="AV92" s="24">
        <v>17.298300000000001</v>
      </c>
      <c r="AW92" s="24">
        <v>18.268133333333335</v>
      </c>
      <c r="AX92" s="24">
        <v>18.567899999999998</v>
      </c>
      <c r="AY92" s="24">
        <v>16.391442857142856</v>
      </c>
      <c r="AZ92" s="24">
        <v>36.712599999999995</v>
      </c>
      <c r="BA92" s="24">
        <v>40.468499999999999</v>
      </c>
      <c r="BB92" s="24">
        <v>46.710699999999996</v>
      </c>
      <c r="BC92" s="24"/>
      <c r="BD92" s="24">
        <v>81.518899999999988</v>
      </c>
      <c r="BE92" s="24">
        <v>96.965699999999984</v>
      </c>
      <c r="BF92" s="24"/>
      <c r="BG92" s="24">
        <v>225.2482</v>
      </c>
      <c r="BH92" s="24"/>
      <c r="BO92" s="3">
        <v>292</v>
      </c>
      <c r="BQ92" s="3" t="s">
        <v>156</v>
      </c>
      <c r="BR92" s="3">
        <v>221</v>
      </c>
      <c r="BV92" s="3">
        <v>134726.85680000001</v>
      </c>
      <c r="BW92" s="3">
        <v>32433.754550000001</v>
      </c>
      <c r="BX92" s="3">
        <v>26871.572813333332</v>
      </c>
      <c r="BY92" s="3">
        <v>10667.916639999999</v>
      </c>
      <c r="BZ92" s="3">
        <v>9122.0675859999992</v>
      </c>
      <c r="CA92" s="3">
        <v>7986.7693033999994</v>
      </c>
      <c r="CB92" s="3">
        <v>3659.768133</v>
      </c>
      <c r="CC92" s="3">
        <v>3093.1489336666668</v>
      </c>
      <c r="CD92" s="3">
        <v>2560.5431386000005</v>
      </c>
      <c r="CE92" s="3">
        <v>2096.9834847142856</v>
      </c>
      <c r="CF92" s="3">
        <v>1046.3684049999999</v>
      </c>
      <c r="CG92" s="3">
        <v>825.2569357000001</v>
      </c>
      <c r="CH92" s="3">
        <v>554.96835332000001</v>
      </c>
      <c r="CJ92" s="3">
        <v>222.4658388</v>
      </c>
      <c r="CK92" s="3">
        <v>144.45517143333333</v>
      </c>
      <c r="CM92" s="3">
        <v>22.708843250000001</v>
      </c>
      <c r="CU92" s="3">
        <f t="shared" si="47"/>
        <v>-269453.71360000002</v>
      </c>
      <c r="CV92" s="3">
        <f t="shared" si="48"/>
        <v>-64867.509100000003</v>
      </c>
      <c r="CW92" s="3">
        <f t="shared" si="49"/>
        <v>-53743.145626666665</v>
      </c>
      <c r="CX92" s="3">
        <f t="shared" si="50"/>
        <v>-21335.833279999999</v>
      </c>
      <c r="CY92" s="3">
        <f t="shared" si="51"/>
        <v>-18244.135171999998</v>
      </c>
      <c r="CZ92" s="3">
        <f t="shared" si="52"/>
        <v>-15973.538606799999</v>
      </c>
      <c r="DA92" s="3">
        <f t="shared" si="53"/>
        <v>-7319.5362660000001</v>
      </c>
      <c r="DB92" s="3">
        <f t="shared" si="54"/>
        <v>-6186.2978673333337</v>
      </c>
      <c r="DC92" s="3">
        <f t="shared" si="55"/>
        <v>-5121.0862772000009</v>
      </c>
      <c r="DD92" s="3">
        <f t="shared" si="56"/>
        <v>-4193.9669694285712</v>
      </c>
      <c r="DE92" s="3">
        <f t="shared" si="57"/>
        <v>-2092.7368099999999</v>
      </c>
      <c r="DF92" s="3">
        <f t="shared" si="58"/>
        <v>-1650.5138714000002</v>
      </c>
      <c r="DG92" s="3">
        <f t="shared" si="63"/>
        <v>-1109.93670664</v>
      </c>
      <c r="DI92" s="3">
        <f t="shared" si="59"/>
        <v>-444.9316776</v>
      </c>
      <c r="DJ92" s="3">
        <f t="shared" si="69"/>
        <v>-288.91034286666667</v>
      </c>
      <c r="DL92" s="3">
        <f t="shared" si="73"/>
        <v>-45.417686500000002</v>
      </c>
      <c r="DT92" s="3">
        <f t="shared" si="60"/>
        <v>-134726.85680000001</v>
      </c>
      <c r="DU92" s="3">
        <f t="shared" si="61"/>
        <v>-32433.754550000001</v>
      </c>
      <c r="DV92" s="3">
        <f t="shared" si="62"/>
        <v>-26871.572813333332</v>
      </c>
      <c r="DW92" s="3">
        <f t="shared" si="66"/>
        <v>-10667.916639999999</v>
      </c>
      <c r="DX92" s="3">
        <f t="shared" si="67"/>
        <v>-9122.0675859999992</v>
      </c>
      <c r="DY92" s="3">
        <f t="shared" si="72"/>
        <v>-7986.7693033999994</v>
      </c>
      <c r="DZ92" s="3">
        <f t="shared" si="71"/>
        <v>-3659.768133</v>
      </c>
      <c r="EA92" s="3">
        <f t="shared" si="46"/>
        <v>-3093.1489336666668</v>
      </c>
      <c r="EB92" s="3">
        <f t="shared" si="65"/>
        <v>-2560.5431386000005</v>
      </c>
      <c r="EC92" s="3">
        <f t="shared" si="45"/>
        <v>-2096.9834847142856</v>
      </c>
      <c r="ED92" s="3">
        <f t="shared" si="68"/>
        <v>-1046.3684049999999</v>
      </c>
      <c r="EE92" s="3">
        <f t="shared" si="38"/>
        <v>-825.2569357000001</v>
      </c>
      <c r="EF92" s="3">
        <f t="shared" si="64"/>
        <v>-554.96835332000001</v>
      </c>
      <c r="EH92" s="3">
        <f t="shared" si="42"/>
        <v>-222.4658388</v>
      </c>
      <c r="EI92" s="3">
        <f t="shared" si="70"/>
        <v>-144.45517143333333</v>
      </c>
      <c r="EK92" s="3">
        <f t="shared" si="74"/>
        <v>-22.708843250000001</v>
      </c>
      <c r="ES92" s="3">
        <v>5.2794216</v>
      </c>
      <c r="ET92" s="3">
        <v>10.146977840000002</v>
      </c>
      <c r="FC92" s="32">
        <v>225.2482</v>
      </c>
      <c r="FD92" s="16"/>
    </row>
    <row r="93" spans="3:160" ht="16" x14ac:dyDescent="0.2">
      <c r="C93" s="7" t="s">
        <v>89</v>
      </c>
      <c r="D93" s="3">
        <v>89</v>
      </c>
      <c r="F93" s="3">
        <v>2.2200000000000002</v>
      </c>
      <c r="G93" s="3">
        <v>1.1000000000000001</v>
      </c>
      <c r="H93" s="3">
        <v>10.07</v>
      </c>
      <c r="I93" s="3">
        <v>1324</v>
      </c>
      <c r="J93" s="3">
        <v>3471</v>
      </c>
      <c r="K93" s="28">
        <v>88.171000000000006</v>
      </c>
      <c r="L93" s="28">
        <v>85.322000000000003</v>
      </c>
      <c r="M93" s="28">
        <v>83.178666666666672</v>
      </c>
      <c r="N93" s="28">
        <v>78.73</v>
      </c>
      <c r="O93" s="28">
        <v>75.004666666666665</v>
      </c>
      <c r="P93" s="28">
        <v>71.043399999999991</v>
      </c>
      <c r="Q93" s="28">
        <v>67.147000000000006</v>
      </c>
      <c r="R93" s="28">
        <v>62.025333333333343</v>
      </c>
      <c r="S93" s="28">
        <v>55.096000000000004</v>
      </c>
      <c r="T93" s="28">
        <v>47.311857142857143</v>
      </c>
      <c r="U93" s="28">
        <v>50.768999999999998</v>
      </c>
      <c r="V93" s="28">
        <v>44.868333333333339</v>
      </c>
      <c r="W93" s="28">
        <v>35.690399999999997</v>
      </c>
      <c r="X93" s="28"/>
      <c r="Y93" s="28">
        <v>32.881999999999998</v>
      </c>
      <c r="Z93" s="28">
        <v>26.796666666666667</v>
      </c>
      <c r="AA93" s="28">
        <v>14.907999999999999</v>
      </c>
      <c r="AB93" s="28">
        <v>15.885999999999999</v>
      </c>
      <c r="AC93" s="28"/>
      <c r="AD93" s="23"/>
      <c r="AE93" s="23"/>
      <c r="AF93" s="23"/>
      <c r="AG93" s="23"/>
      <c r="AH93" s="23"/>
      <c r="AI93" s="23"/>
      <c r="AP93" s="24">
        <v>0.47609999999999997</v>
      </c>
      <c r="AQ93" s="24">
        <v>2.6978999999999997</v>
      </c>
      <c r="AR93" s="24">
        <v>2.2394333333333334</v>
      </c>
      <c r="AS93" s="24">
        <v>7.6175999999999995</v>
      </c>
      <c r="AT93" s="24">
        <v>7.688133333333333</v>
      </c>
      <c r="AU93" s="24">
        <v>6.2950999999999997</v>
      </c>
      <c r="AV93" s="24">
        <v>17.033799999999999</v>
      </c>
      <c r="AW93" s="24">
        <v>17.986000000000001</v>
      </c>
      <c r="AX93" s="24">
        <v>18.271659999999997</v>
      </c>
      <c r="AY93" s="24">
        <v>16.043814285714287</v>
      </c>
      <c r="AZ93" s="24">
        <v>35.866199999999999</v>
      </c>
      <c r="BA93" s="24">
        <v>39.586833333333338</v>
      </c>
      <c r="BB93" s="24">
        <v>45.441099999999999</v>
      </c>
      <c r="BC93" s="24"/>
      <c r="BD93" s="24">
        <v>78.450699999999998</v>
      </c>
      <c r="BE93" s="24">
        <v>92.557366666666667</v>
      </c>
      <c r="BF93" s="24">
        <v>138.96829999999997</v>
      </c>
      <c r="BG93" s="24">
        <v>207.42089999999999</v>
      </c>
      <c r="BH93" s="24"/>
      <c r="BO93" s="3">
        <v>293</v>
      </c>
      <c r="BP93" s="3">
        <v>280</v>
      </c>
      <c r="BQ93" s="3" t="s">
        <v>156</v>
      </c>
      <c r="BR93" s="3">
        <v>215</v>
      </c>
      <c r="BV93" s="3">
        <v>138881.10990000001</v>
      </c>
      <c r="BW93" s="3">
        <v>33533.652300000002</v>
      </c>
      <c r="BX93" s="3">
        <v>27641.407353333332</v>
      </c>
      <c r="BY93" s="3">
        <v>11037.56424</v>
      </c>
      <c r="BZ93" s="3">
        <v>9402.7556413333332</v>
      </c>
      <c r="CA93" s="3">
        <v>8209.0337369999997</v>
      </c>
      <c r="CB93" s="3">
        <v>3804.121803</v>
      </c>
      <c r="CC93" s="3">
        <v>3207.7079523333337</v>
      </c>
      <c r="CD93" s="3">
        <v>2654.7151801999998</v>
      </c>
      <c r="CE93" s="3">
        <v>2186.2501847142858</v>
      </c>
      <c r="CF93" s="3">
        <v>1107.4249540000001</v>
      </c>
      <c r="CG93" s="3">
        <v>875.99506446666658</v>
      </c>
      <c r="CH93" s="3">
        <v>598.99002664</v>
      </c>
      <c r="CJ93" s="3">
        <v>249.4604894</v>
      </c>
      <c r="CK93" s="3">
        <v>165.84634323333333</v>
      </c>
      <c r="CL93" s="3">
        <v>52.42446709</v>
      </c>
      <c r="CM93" s="3">
        <v>28.758900700000002</v>
      </c>
      <c r="CU93" s="3">
        <f t="shared" si="47"/>
        <v>-277762.21980000002</v>
      </c>
      <c r="CV93" s="3">
        <f t="shared" si="48"/>
        <v>-67067.304600000003</v>
      </c>
      <c r="CW93" s="3">
        <f t="shared" si="49"/>
        <v>-55282.814706666664</v>
      </c>
      <c r="CX93" s="3">
        <f t="shared" si="50"/>
        <v>-22075.128479999999</v>
      </c>
      <c r="CY93" s="3">
        <f t="shared" si="51"/>
        <v>-18805.511282666666</v>
      </c>
      <c r="CZ93" s="3">
        <f t="shared" si="52"/>
        <v>-16418.067473999999</v>
      </c>
      <c r="DA93" s="3">
        <f t="shared" si="53"/>
        <v>-7608.243606</v>
      </c>
      <c r="DB93" s="3">
        <f t="shared" si="54"/>
        <v>-6415.4159046666673</v>
      </c>
      <c r="DC93" s="3">
        <f t="shared" si="55"/>
        <v>-5309.4303603999997</v>
      </c>
      <c r="DD93" s="3">
        <f t="shared" si="56"/>
        <v>-4372.5003694285715</v>
      </c>
      <c r="DE93" s="3">
        <f t="shared" si="57"/>
        <v>-2214.8499080000001</v>
      </c>
      <c r="DF93" s="3">
        <f t="shared" si="58"/>
        <v>-1751.9901289333332</v>
      </c>
      <c r="DG93" s="3">
        <f t="shared" si="63"/>
        <v>-1197.98005328</v>
      </c>
      <c r="DI93" s="3">
        <f t="shared" si="59"/>
        <v>-498.9209788</v>
      </c>
      <c r="DJ93" s="3">
        <f t="shared" si="69"/>
        <v>-331.69268646666666</v>
      </c>
      <c r="DK93" s="3">
        <f t="shared" ref="DK93:DK122" si="75">-2*CL93</f>
        <v>-104.84893418</v>
      </c>
      <c r="DL93" s="3">
        <f t="shared" si="73"/>
        <v>-57.517801400000003</v>
      </c>
      <c r="DT93" s="3">
        <f t="shared" si="60"/>
        <v>-138881.10990000001</v>
      </c>
      <c r="DU93" s="3">
        <f t="shared" si="61"/>
        <v>-33533.652300000002</v>
      </c>
      <c r="DV93" s="3">
        <f t="shared" si="62"/>
        <v>-27641.407353333332</v>
      </c>
      <c r="DW93" s="3">
        <f t="shared" si="66"/>
        <v>-11037.56424</v>
      </c>
      <c r="DX93" s="3">
        <f t="shared" si="67"/>
        <v>-9402.7556413333332</v>
      </c>
      <c r="DY93" s="3">
        <f t="shared" si="72"/>
        <v>-8209.0337369999997</v>
      </c>
      <c r="DZ93" s="3">
        <f t="shared" si="71"/>
        <v>-3804.121803</v>
      </c>
      <c r="EA93" s="3">
        <f t="shared" si="46"/>
        <v>-3207.7079523333337</v>
      </c>
      <c r="EB93" s="3">
        <f t="shared" si="65"/>
        <v>-2654.7151801999998</v>
      </c>
      <c r="EC93" s="3">
        <f t="shared" si="45"/>
        <v>-2186.2501847142858</v>
      </c>
      <c r="ED93" s="3">
        <f t="shared" si="68"/>
        <v>-1107.4249540000001</v>
      </c>
      <c r="EE93" s="3">
        <f t="shared" si="38"/>
        <v>-875.99506446666658</v>
      </c>
      <c r="EF93" s="3">
        <f t="shared" si="64"/>
        <v>-598.99002664</v>
      </c>
      <c r="EH93" s="3">
        <f t="shared" si="42"/>
        <v>-249.4604894</v>
      </c>
      <c r="EI93" s="3">
        <f t="shared" si="70"/>
        <v>-165.84634323333333</v>
      </c>
      <c r="EJ93" s="3">
        <f>-1*CL93</f>
        <v>-52.42446709</v>
      </c>
      <c r="EK93" s="3">
        <f t="shared" si="74"/>
        <v>-28.758900700000002</v>
      </c>
      <c r="ES93" s="3">
        <v>5.07836</v>
      </c>
      <c r="ET93" s="3">
        <v>12.12588</v>
      </c>
      <c r="FC93" s="32">
        <v>207.42089999999999</v>
      </c>
      <c r="FD93" s="16"/>
    </row>
    <row r="94" spans="3:160" ht="16" x14ac:dyDescent="0.2">
      <c r="C94" s="7" t="s">
        <v>90</v>
      </c>
      <c r="D94" s="3">
        <v>90</v>
      </c>
      <c r="E94" s="3">
        <v>232.0377</v>
      </c>
      <c r="F94" s="3">
        <v>2.62</v>
      </c>
      <c r="G94" s="3">
        <v>1.3</v>
      </c>
      <c r="H94" s="3">
        <v>11.72</v>
      </c>
      <c r="I94" s="3">
        <v>2023</v>
      </c>
      <c r="J94" s="3">
        <v>5061</v>
      </c>
      <c r="K94" s="28">
        <v>89.165000000000006</v>
      </c>
      <c r="L94" s="28">
        <v>86.34</v>
      </c>
      <c r="M94" s="28">
        <v>84.170666666666662</v>
      </c>
      <c r="N94" s="28">
        <v>79.777000000000001</v>
      </c>
      <c r="O94" s="28">
        <v>75.998333333333335</v>
      </c>
      <c r="P94" s="28">
        <v>72.000600000000006</v>
      </c>
      <c r="Q94" s="28">
        <v>68.221999999999994</v>
      </c>
      <c r="R94" s="28">
        <v>63.028999999999996</v>
      </c>
      <c r="S94" s="28">
        <v>56.065599999999996</v>
      </c>
      <c r="T94" s="28">
        <v>48.37614285714286</v>
      </c>
      <c r="U94" s="28">
        <v>51.944000000000003</v>
      </c>
      <c r="V94" s="28">
        <v>45.999333333333333</v>
      </c>
      <c r="W94" s="28">
        <v>36.904999999999994</v>
      </c>
      <c r="X94" s="28"/>
      <c r="Y94" s="28">
        <v>34.258000000000003</v>
      </c>
      <c r="Z94" s="28">
        <v>28.119333333333334</v>
      </c>
      <c r="AA94" s="28">
        <v>16.709000000000003</v>
      </c>
      <c r="AB94" s="28">
        <v>16.893999999999998</v>
      </c>
      <c r="AC94" s="28"/>
      <c r="AD94" s="23"/>
      <c r="AE94" s="23"/>
      <c r="AF94" s="23"/>
      <c r="AG94" s="23"/>
      <c r="AH94" s="23"/>
      <c r="AI94" s="23"/>
      <c r="AP94" s="24">
        <v>0.42320000000000002</v>
      </c>
      <c r="AQ94" s="24">
        <v>2.645</v>
      </c>
      <c r="AR94" s="24">
        <v>2.2218</v>
      </c>
      <c r="AS94" s="24">
        <v>7.5117999999999991</v>
      </c>
      <c r="AT94" s="24">
        <v>7.5823333333333336</v>
      </c>
      <c r="AU94" s="24">
        <v>6.2104599999999994</v>
      </c>
      <c r="AV94" s="24">
        <v>16.7164</v>
      </c>
      <c r="AW94" s="24">
        <v>17.721499999999995</v>
      </c>
      <c r="AX94" s="24">
        <v>17.986000000000001</v>
      </c>
      <c r="AY94" s="24">
        <v>15.756642857142856</v>
      </c>
      <c r="AZ94" s="24">
        <v>35.1785</v>
      </c>
      <c r="BA94" s="24">
        <v>38.687533333333327</v>
      </c>
      <c r="BB94" s="24">
        <v>44.224399999999996</v>
      </c>
      <c r="BC94" s="24"/>
      <c r="BD94" s="24">
        <v>75.752799999999993</v>
      </c>
      <c r="BE94" s="24">
        <v>88.783833333333334</v>
      </c>
      <c r="BF94" s="24">
        <v>129.07599999999999</v>
      </c>
      <c r="BG94" s="24">
        <v>194.8836</v>
      </c>
      <c r="BH94" s="24"/>
      <c r="BO94" s="3">
        <v>289</v>
      </c>
      <c r="BP94" s="3">
        <v>293</v>
      </c>
      <c r="BQ94" s="3">
        <v>179</v>
      </c>
      <c r="BR94" s="3">
        <v>206</v>
      </c>
      <c r="BV94" s="3">
        <v>143159.67550000001</v>
      </c>
      <c r="BW94" s="3">
        <v>34670.410580000003</v>
      </c>
      <c r="BX94" s="3">
        <v>28429.087300000003</v>
      </c>
      <c r="BY94" s="3">
        <v>11418.718720000001</v>
      </c>
      <c r="BZ94" s="3">
        <v>9689.844266666667</v>
      </c>
      <c r="CA94" s="3">
        <v>8434.6141496</v>
      </c>
      <c r="CB94" s="3">
        <v>3953.0948779999999</v>
      </c>
      <c r="CC94" s="3">
        <v>3325.2054386666664</v>
      </c>
      <c r="CD94" s="3">
        <v>2750.8132436000001</v>
      </c>
      <c r="CE94" s="3">
        <v>2277.014494</v>
      </c>
      <c r="CF94" s="3">
        <v>1170.5895149999999</v>
      </c>
      <c r="CG94" s="3">
        <v>928.288768</v>
      </c>
      <c r="CH94" s="3">
        <v>644.1260661</v>
      </c>
      <c r="CJ94" s="3">
        <v>276.38229790000003</v>
      </c>
      <c r="CK94" s="3">
        <v>186.52930793333334</v>
      </c>
      <c r="CL94" s="3">
        <v>66.861628436000004</v>
      </c>
      <c r="CM94" s="3">
        <v>33.967660260000002</v>
      </c>
      <c r="CU94" s="3">
        <f t="shared" si="47"/>
        <v>-286319.35100000002</v>
      </c>
      <c r="CV94" s="3">
        <f t="shared" si="48"/>
        <v>-69340.821160000007</v>
      </c>
      <c r="CW94" s="3">
        <f t="shared" si="49"/>
        <v>-56858.174600000006</v>
      </c>
      <c r="CX94" s="3">
        <f t="shared" si="50"/>
        <v>-22837.437440000002</v>
      </c>
      <c r="CY94" s="3">
        <f t="shared" si="51"/>
        <v>-19379.688533333334</v>
      </c>
      <c r="CZ94" s="3">
        <f t="shared" si="52"/>
        <v>-16869.2282992</v>
      </c>
      <c r="DA94" s="3">
        <f t="shared" si="53"/>
        <v>-7906.1897559999998</v>
      </c>
      <c r="DB94" s="3">
        <f t="shared" si="54"/>
        <v>-6650.4108773333328</v>
      </c>
      <c r="DC94" s="3">
        <f t="shared" si="55"/>
        <v>-5501.6264872000002</v>
      </c>
      <c r="DD94" s="3">
        <f t="shared" si="56"/>
        <v>-4554.028988</v>
      </c>
      <c r="DE94" s="3">
        <f t="shared" si="57"/>
        <v>-2341.1790299999998</v>
      </c>
      <c r="DF94" s="3">
        <f t="shared" si="58"/>
        <v>-1856.577536</v>
      </c>
      <c r="DG94" s="3">
        <f t="shared" si="63"/>
        <v>-1288.2521322</v>
      </c>
      <c r="DI94" s="3">
        <f t="shared" si="59"/>
        <v>-552.76459580000005</v>
      </c>
      <c r="DJ94" s="3">
        <f t="shared" si="69"/>
        <v>-373.05861586666668</v>
      </c>
      <c r="DK94" s="3">
        <f t="shared" si="75"/>
        <v>-133.72325687200001</v>
      </c>
      <c r="DL94" s="3">
        <f t="shared" si="73"/>
        <v>-67.935320520000005</v>
      </c>
      <c r="DT94" s="3">
        <f t="shared" si="60"/>
        <v>-143159.67550000001</v>
      </c>
      <c r="DU94" s="3">
        <f t="shared" si="61"/>
        <v>-34670.410580000003</v>
      </c>
      <c r="DV94" s="3">
        <f t="shared" si="62"/>
        <v>-28429.087300000003</v>
      </c>
      <c r="DW94" s="3">
        <f t="shared" si="66"/>
        <v>-11418.718720000001</v>
      </c>
      <c r="DX94" s="3">
        <f t="shared" si="67"/>
        <v>-9689.844266666667</v>
      </c>
      <c r="DY94" s="3">
        <f t="shared" si="72"/>
        <v>-8434.6141496</v>
      </c>
      <c r="DZ94" s="3">
        <f t="shared" si="71"/>
        <v>-3953.0948779999999</v>
      </c>
      <c r="EA94" s="3">
        <f t="shared" si="46"/>
        <v>-3325.2054386666664</v>
      </c>
      <c r="EB94" s="3">
        <f t="shared" si="65"/>
        <v>-2750.8132436000001</v>
      </c>
      <c r="EC94" s="3">
        <f t="shared" si="45"/>
        <v>-2277.014494</v>
      </c>
      <c r="ED94" s="3">
        <f t="shared" si="68"/>
        <v>-1170.5895149999999</v>
      </c>
      <c r="EE94" s="3">
        <f t="shared" si="38"/>
        <v>-928.288768</v>
      </c>
      <c r="EF94" s="3">
        <f t="shared" si="64"/>
        <v>-644.1260661</v>
      </c>
      <c r="EH94" s="3">
        <f t="shared" si="42"/>
        <v>-276.38229790000003</v>
      </c>
      <c r="EI94" s="3">
        <f t="shared" si="70"/>
        <v>-186.52930793333334</v>
      </c>
      <c r="EJ94" s="3">
        <f>-1*CL94</f>
        <v>-66.861628436000004</v>
      </c>
      <c r="EK94" s="3">
        <f t="shared" si="74"/>
        <v>-33.967660260000002</v>
      </c>
      <c r="ES94" s="3">
        <v>6.1147600000000004</v>
      </c>
      <c r="ET94" s="3">
        <v>11.504040000000002</v>
      </c>
      <c r="EV94" s="3">
        <v>20.002520000000001</v>
      </c>
      <c r="EW94" s="3">
        <v>28.811920000000001</v>
      </c>
      <c r="FC94" s="32">
        <v>194.8836</v>
      </c>
      <c r="FD94" s="16"/>
    </row>
    <row r="95" spans="3:160" ht="16" x14ac:dyDescent="0.2">
      <c r="C95" s="7" t="s">
        <v>91</v>
      </c>
      <c r="D95" s="3">
        <v>91</v>
      </c>
      <c r="E95" s="3">
        <v>231.03587999999999</v>
      </c>
      <c r="F95" s="3">
        <v>2.33</v>
      </c>
      <c r="G95" s="3">
        <v>1.5</v>
      </c>
      <c r="H95" s="3">
        <v>15.37</v>
      </c>
      <c r="I95" s="3">
        <v>1845</v>
      </c>
      <c r="K95" s="28">
        <v>90.158000000000001</v>
      </c>
      <c r="L95" s="28">
        <v>87.358999999999995</v>
      </c>
      <c r="M95" s="28">
        <v>85.164333333333332</v>
      </c>
      <c r="N95" s="28">
        <v>80.826999999999998</v>
      </c>
      <c r="O95" s="28">
        <v>76.994666666666674</v>
      </c>
      <c r="P95" s="28">
        <v>72.958399999999997</v>
      </c>
      <c r="Q95" s="28">
        <v>69.296000000000006</v>
      </c>
      <c r="R95" s="28">
        <v>64.030666666666662</v>
      </c>
      <c r="S95" s="28">
        <v>57.028800000000004</v>
      </c>
      <c r="T95" s="28">
        <v>49.431000000000004</v>
      </c>
      <c r="U95" s="28">
        <v>53.024000000000001</v>
      </c>
      <c r="V95" s="28">
        <v>46.963000000000001</v>
      </c>
      <c r="W95" s="28">
        <v>37.738</v>
      </c>
      <c r="X95" s="28">
        <v>20.337</v>
      </c>
      <c r="Y95" s="28">
        <v>34.764000000000003</v>
      </c>
      <c r="Z95" s="28">
        <v>28.320000000000004</v>
      </c>
      <c r="AA95" s="28">
        <v>17.2654</v>
      </c>
      <c r="AB95" s="28">
        <v>16.414000000000001</v>
      </c>
      <c r="AC95" s="28"/>
      <c r="AD95" s="23"/>
      <c r="AE95" s="23"/>
      <c r="AF95" s="23"/>
      <c r="AG95" s="23"/>
      <c r="AH95" s="23"/>
      <c r="AI95" s="23"/>
      <c r="AP95" s="24">
        <v>0.42320000000000002</v>
      </c>
      <c r="AQ95" s="24">
        <v>2.5920999999999998</v>
      </c>
      <c r="AR95" s="24">
        <v>2.1865333333333332</v>
      </c>
      <c r="AS95" s="24">
        <v>7.3531000000000004</v>
      </c>
      <c r="AT95" s="24">
        <v>7.4765333333333324</v>
      </c>
      <c r="AU95" s="24">
        <v>6.1364000000000001</v>
      </c>
      <c r="AV95" s="24">
        <v>16.451899999999998</v>
      </c>
      <c r="AW95" s="24">
        <v>17.439366666666668</v>
      </c>
      <c r="AX95" s="24">
        <v>17.721500000000002</v>
      </c>
      <c r="AY95" s="24">
        <v>15.461914285714284</v>
      </c>
      <c r="AZ95" s="24">
        <v>34.437899999999999</v>
      </c>
      <c r="BA95" s="24">
        <v>37.946933333333334</v>
      </c>
      <c r="BB95" s="24">
        <v>43.229880000000001</v>
      </c>
      <c r="BC95" s="24">
        <v>59.142200000000003</v>
      </c>
      <c r="BD95" s="24">
        <v>74.271599999999992</v>
      </c>
      <c r="BE95" s="24">
        <v>87.584766666666667</v>
      </c>
      <c r="BF95" s="24">
        <v>124.41022000000001</v>
      </c>
      <c r="BG95" s="24">
        <v>199.00979999999998</v>
      </c>
      <c r="BH95" s="24"/>
      <c r="BO95" s="3">
        <v>285</v>
      </c>
      <c r="BP95" s="3">
        <v>288</v>
      </c>
      <c r="BQ95" s="3">
        <v>163</v>
      </c>
      <c r="BR95" s="3">
        <v>200</v>
      </c>
      <c r="BV95" s="3">
        <v>147554.92629999999</v>
      </c>
      <c r="BW95" s="3">
        <v>35844.317840000003</v>
      </c>
      <c r="BX95" s="3">
        <v>29236.036353333333</v>
      </c>
      <c r="BY95" s="3">
        <v>11811.519130000001</v>
      </c>
      <c r="BZ95" s="3">
        <v>9983.7371899999998</v>
      </c>
      <c r="CA95" s="3">
        <v>8663.8794739999994</v>
      </c>
      <c r="CB95" s="3">
        <v>4105.4584910000003</v>
      </c>
      <c r="CC95" s="3">
        <v>3444.8055473333334</v>
      </c>
      <c r="CD95" s="3">
        <v>2848.0540218000001</v>
      </c>
      <c r="CE95" s="3">
        <v>2369.1909961428569</v>
      </c>
      <c r="CF95" s="3">
        <v>1230.754048</v>
      </c>
      <c r="CG95" s="3">
        <v>974.45881299999985</v>
      </c>
      <c r="CH95" s="3">
        <v>677.0145120200001</v>
      </c>
      <c r="CI95" s="3">
        <v>262.23275344285719</v>
      </c>
      <c r="CJ95" s="3">
        <v>285.56545970000002</v>
      </c>
      <c r="CK95" s="3">
        <v>189.08588640000002</v>
      </c>
      <c r="CL95" s="3">
        <v>74.425238296000003</v>
      </c>
      <c r="CM95" s="3">
        <v>30.372598350000001</v>
      </c>
      <c r="CU95" s="3">
        <f t="shared" si="47"/>
        <v>-295109.85259999998</v>
      </c>
      <c r="CV95" s="3">
        <f t="shared" si="48"/>
        <v>-71688.635680000007</v>
      </c>
      <c r="CW95" s="3">
        <f t="shared" si="49"/>
        <v>-58472.072706666666</v>
      </c>
      <c r="CX95" s="3">
        <f t="shared" si="50"/>
        <v>-23623.038260000001</v>
      </c>
      <c r="CY95" s="3">
        <f t="shared" si="51"/>
        <v>-19967.47438</v>
      </c>
      <c r="CZ95" s="3">
        <f t="shared" si="52"/>
        <v>-17327.758947999999</v>
      </c>
      <c r="DA95" s="3">
        <f t="shared" si="53"/>
        <v>-8210.9169820000006</v>
      </c>
      <c r="DB95" s="3">
        <f t="shared" si="54"/>
        <v>-6889.6110946666668</v>
      </c>
      <c r="DC95" s="3">
        <f t="shared" si="55"/>
        <v>-5696.1080436000002</v>
      </c>
      <c r="DD95" s="3">
        <f t="shared" si="56"/>
        <v>-4738.3819922857137</v>
      </c>
      <c r="DE95" s="3">
        <f t="shared" si="57"/>
        <v>-2461.508096</v>
      </c>
      <c r="DF95" s="3">
        <f t="shared" si="58"/>
        <v>-1948.9176259999997</v>
      </c>
      <c r="DG95" s="3">
        <f t="shared" si="63"/>
        <v>-1354.0290240400002</v>
      </c>
      <c r="DH95" s="3">
        <f t="shared" ref="DH95:DH122" si="76">-2*CI95</f>
        <v>-524.46550688571438</v>
      </c>
      <c r="DI95" s="3">
        <f t="shared" si="59"/>
        <v>-571.13091940000004</v>
      </c>
      <c r="DJ95" s="3">
        <f t="shared" si="69"/>
        <v>-378.17177280000004</v>
      </c>
      <c r="DK95" s="3">
        <f t="shared" si="75"/>
        <v>-148.85047659200001</v>
      </c>
      <c r="DL95" s="3">
        <f t="shared" si="73"/>
        <v>-60.745196700000001</v>
      </c>
      <c r="DT95" s="3">
        <f t="shared" si="60"/>
        <v>-147554.92629999999</v>
      </c>
      <c r="DU95" s="3">
        <f t="shared" si="61"/>
        <v>-35844.317840000003</v>
      </c>
      <c r="DV95" s="3">
        <f t="shared" si="62"/>
        <v>-29236.036353333333</v>
      </c>
      <c r="DW95" s="3">
        <f t="shared" si="66"/>
        <v>-11811.519130000001</v>
      </c>
      <c r="DX95" s="3">
        <f t="shared" si="67"/>
        <v>-9983.7371899999998</v>
      </c>
      <c r="DY95" s="3">
        <f t="shared" si="72"/>
        <v>-8663.8794739999994</v>
      </c>
      <c r="DZ95" s="3">
        <f t="shared" si="71"/>
        <v>-4105.4584910000003</v>
      </c>
      <c r="EA95" s="3">
        <f t="shared" si="46"/>
        <v>-3444.8055473333334</v>
      </c>
      <c r="EB95" s="3">
        <f t="shared" si="65"/>
        <v>-2848.0540218000001</v>
      </c>
      <c r="EC95" s="3">
        <f t="shared" si="45"/>
        <v>-2369.1909961428569</v>
      </c>
      <c r="ED95" s="3">
        <f t="shared" si="68"/>
        <v>-1230.754048</v>
      </c>
      <c r="EE95" s="3">
        <f t="shared" si="38"/>
        <v>-974.45881299999985</v>
      </c>
      <c r="EF95" s="3">
        <f t="shared" si="64"/>
        <v>-677.0145120200001</v>
      </c>
      <c r="EG95" s="3">
        <f>-1*CI95</f>
        <v>-262.23275344285719</v>
      </c>
      <c r="EH95" s="3">
        <f t="shared" si="42"/>
        <v>-285.56545970000002</v>
      </c>
      <c r="EI95" s="3">
        <f t="shared" si="70"/>
        <v>-189.08588640000002</v>
      </c>
      <c r="EJ95" s="3">
        <f>-1*CL95</f>
        <v>-74.425238296000003</v>
      </c>
      <c r="EK95" s="3">
        <f t="shared" si="74"/>
        <v>-30.372598350000001</v>
      </c>
      <c r="ES95" s="3">
        <v>5.9074799999999996</v>
      </c>
      <c r="FC95" s="32">
        <v>199.00979999999998</v>
      </c>
      <c r="FD95" s="16"/>
    </row>
    <row r="96" spans="3:160" ht="16" x14ac:dyDescent="0.2">
      <c r="C96" s="7" t="s">
        <v>92</v>
      </c>
      <c r="D96" s="3">
        <v>92</v>
      </c>
      <c r="E96" s="3">
        <v>238.02891</v>
      </c>
      <c r="F96" s="3">
        <v>2.4500000000000002</v>
      </c>
      <c r="G96" s="3">
        <v>1.38</v>
      </c>
      <c r="H96" s="3">
        <v>18.95</v>
      </c>
      <c r="I96" s="3">
        <v>1408</v>
      </c>
      <c r="J96" s="3">
        <v>4404</v>
      </c>
      <c r="K96" s="28">
        <v>91.149000000000001</v>
      </c>
      <c r="L96" s="28">
        <v>88.376000000000005</v>
      </c>
      <c r="M96" s="28">
        <v>86.15666666666668</v>
      </c>
      <c r="N96" s="28">
        <v>81.876000000000005</v>
      </c>
      <c r="O96" s="28">
        <v>77.991666666666674</v>
      </c>
      <c r="P96" s="28">
        <v>73.916000000000011</v>
      </c>
      <c r="Q96" s="28">
        <v>70.375</v>
      </c>
      <c r="R96" s="28">
        <v>65.034333333333336</v>
      </c>
      <c r="S96" s="28">
        <v>57.993399999999994</v>
      </c>
      <c r="T96" s="28">
        <v>50.478571428571435</v>
      </c>
      <c r="U96" s="28">
        <v>54.134</v>
      </c>
      <c r="V96" s="28">
        <v>47.977333333333341</v>
      </c>
      <c r="W96" s="28">
        <v>38.689800000000005</v>
      </c>
      <c r="X96" s="28">
        <v>21.879714285714289</v>
      </c>
      <c r="Y96" s="28">
        <v>35.610999999999997</v>
      </c>
      <c r="Z96" s="28">
        <v>28.965999999999998</v>
      </c>
      <c r="AA96" s="28">
        <v>17.344999999999999</v>
      </c>
      <c r="AB96" s="28">
        <v>16.657</v>
      </c>
      <c r="AC96" s="28"/>
      <c r="AD96" s="23"/>
      <c r="AE96" s="23"/>
      <c r="AF96" s="23"/>
      <c r="AG96" s="23"/>
      <c r="AH96" s="23"/>
      <c r="AI96" s="23"/>
      <c r="AP96" s="24">
        <v>0.42320000000000002</v>
      </c>
      <c r="AQ96" s="24">
        <v>2.5920999999999998</v>
      </c>
      <c r="AR96" s="24">
        <v>2.1688999999999998</v>
      </c>
      <c r="AS96" s="24">
        <v>7.2473000000000001</v>
      </c>
      <c r="AT96" s="24">
        <v>7.3530999999999986</v>
      </c>
      <c r="AU96" s="24">
        <v>6.0517599999999998</v>
      </c>
      <c r="AV96" s="24">
        <v>16.1874</v>
      </c>
      <c r="AW96" s="24">
        <v>17.174866666666667</v>
      </c>
      <c r="AX96" s="24">
        <v>17.457000000000001</v>
      </c>
      <c r="AY96" s="24">
        <v>15.174742857142856</v>
      </c>
      <c r="AZ96" s="24">
        <v>33.697299999999998</v>
      </c>
      <c r="BA96" s="24">
        <v>37.171066666666668</v>
      </c>
      <c r="BB96" s="24">
        <v>42.277680000000004</v>
      </c>
      <c r="BC96" s="24">
        <v>56.29315714285714</v>
      </c>
      <c r="BD96" s="24">
        <v>72.472999999999999</v>
      </c>
      <c r="BE96" s="24">
        <v>85.539300000000011</v>
      </c>
      <c r="BF96" s="24">
        <v>122.52697999999998</v>
      </c>
      <c r="BG96" s="24">
        <v>195.6242</v>
      </c>
      <c r="BH96" s="24"/>
      <c r="BO96" s="3">
        <v>283</v>
      </c>
      <c r="BP96" s="3">
        <v>271</v>
      </c>
      <c r="BQ96" s="3">
        <v>156</v>
      </c>
      <c r="BR96" s="3">
        <v>196</v>
      </c>
      <c r="BV96" s="3">
        <v>152060.0294</v>
      </c>
      <c r="BW96" s="3">
        <v>37053.507380000003</v>
      </c>
      <c r="BX96" s="3">
        <v>30061.660403333331</v>
      </c>
      <c r="BY96" s="3">
        <v>12215.519469999999</v>
      </c>
      <c r="BZ96" s="3">
        <v>10284.260074666667</v>
      </c>
      <c r="CA96" s="3">
        <v>8896.3486666000008</v>
      </c>
      <c r="CB96" s="3">
        <v>4262.7269560000004</v>
      </c>
      <c r="CC96" s="3">
        <v>3567.5874839999997</v>
      </c>
      <c r="CD96" s="3">
        <v>2947.2282507999998</v>
      </c>
      <c r="CE96" s="3">
        <v>2462.697471</v>
      </c>
      <c r="CF96" s="3">
        <v>1294.310262</v>
      </c>
      <c r="CG96" s="3">
        <v>1024.2332958</v>
      </c>
      <c r="CH96" s="3">
        <v>715.07320787999993</v>
      </c>
      <c r="CI96" s="3">
        <v>299.01510208571426</v>
      </c>
      <c r="CJ96" s="3">
        <v>302.432953</v>
      </c>
      <c r="CK96" s="3">
        <v>199.21927873333334</v>
      </c>
      <c r="CL96" s="3">
        <v>75.079240505999991</v>
      </c>
      <c r="CM96" s="3">
        <v>31.115773900000001</v>
      </c>
      <c r="CU96" s="3">
        <f t="shared" si="47"/>
        <v>-304120.0588</v>
      </c>
      <c r="CV96" s="3">
        <f t="shared" si="48"/>
        <v>-74107.014760000005</v>
      </c>
      <c r="CW96" s="3">
        <f t="shared" si="49"/>
        <v>-60123.320806666663</v>
      </c>
      <c r="CX96" s="3">
        <f t="shared" si="50"/>
        <v>-24431.038939999999</v>
      </c>
      <c r="CY96" s="3">
        <f t="shared" si="51"/>
        <v>-20568.520149333333</v>
      </c>
      <c r="CZ96" s="3">
        <f t="shared" si="52"/>
        <v>-17792.697333200002</v>
      </c>
      <c r="DA96" s="3">
        <f t="shared" si="53"/>
        <v>-8525.4539120000009</v>
      </c>
      <c r="DB96" s="3">
        <f t="shared" si="54"/>
        <v>-7135.1749679999994</v>
      </c>
      <c r="DC96" s="3">
        <f t="shared" si="55"/>
        <v>-5894.4565015999997</v>
      </c>
      <c r="DD96" s="3">
        <f t="shared" si="56"/>
        <v>-4925.3949419999999</v>
      </c>
      <c r="DE96" s="3">
        <f t="shared" si="57"/>
        <v>-2588.6205239999999</v>
      </c>
      <c r="DF96" s="3">
        <f t="shared" si="58"/>
        <v>-2048.4665915999999</v>
      </c>
      <c r="DG96" s="3">
        <f t="shared" si="63"/>
        <v>-1430.1464157599999</v>
      </c>
      <c r="DH96" s="3">
        <f t="shared" si="76"/>
        <v>-598.03020417142852</v>
      </c>
      <c r="DI96" s="3">
        <f t="shared" si="59"/>
        <v>-604.865906</v>
      </c>
      <c r="DJ96" s="3">
        <f t="shared" si="69"/>
        <v>-398.43855746666668</v>
      </c>
      <c r="DK96" s="3">
        <f t="shared" si="75"/>
        <v>-150.15848101199998</v>
      </c>
      <c r="DL96" s="3">
        <f t="shared" si="73"/>
        <v>-62.231547800000001</v>
      </c>
      <c r="DT96" s="3">
        <f t="shared" si="60"/>
        <v>-152060.0294</v>
      </c>
      <c r="DU96" s="3">
        <f t="shared" si="61"/>
        <v>-37053.507380000003</v>
      </c>
      <c r="DV96" s="3">
        <f t="shared" si="62"/>
        <v>-30061.660403333331</v>
      </c>
      <c r="DW96" s="3">
        <f t="shared" si="66"/>
        <v>-12215.519469999999</v>
      </c>
      <c r="DX96" s="3">
        <f t="shared" si="67"/>
        <v>-10284.260074666667</v>
      </c>
      <c r="DY96" s="3">
        <f t="shared" si="72"/>
        <v>-8896.3486666000008</v>
      </c>
      <c r="DZ96" s="3">
        <f t="shared" si="71"/>
        <v>-4262.7269560000004</v>
      </c>
      <c r="EA96" s="3">
        <f t="shared" si="46"/>
        <v>-3567.5874839999997</v>
      </c>
      <c r="EB96" s="3">
        <f t="shared" si="65"/>
        <v>-2947.2282507999998</v>
      </c>
      <c r="EC96" s="3">
        <f t="shared" si="45"/>
        <v>-2462.697471</v>
      </c>
      <c r="ED96" s="3">
        <f t="shared" si="68"/>
        <v>-1294.310262</v>
      </c>
      <c r="EE96" s="3">
        <f t="shared" si="38"/>
        <v>-1024.2332958</v>
      </c>
      <c r="EF96" s="3">
        <f t="shared" si="64"/>
        <v>-715.07320787999993</v>
      </c>
      <c r="EG96" s="3">
        <f>-1*CI96</f>
        <v>-299.01510208571426</v>
      </c>
      <c r="EH96" s="3">
        <f t="shared" si="42"/>
        <v>-302.432953</v>
      </c>
      <c r="EI96" s="3">
        <f t="shared" si="70"/>
        <v>-199.21927873333334</v>
      </c>
      <c r="EJ96" s="3">
        <f>-1*CL96</f>
        <v>-75.079240505999991</v>
      </c>
      <c r="EK96" s="3">
        <f t="shared" si="74"/>
        <v>-31.115773900000001</v>
      </c>
      <c r="ES96" s="3">
        <v>6.1147600000000004</v>
      </c>
      <c r="FC96" s="32">
        <v>195.6242</v>
      </c>
      <c r="FD96" s="16"/>
    </row>
    <row r="97" spans="3:160" ht="16" x14ac:dyDescent="0.2">
      <c r="C97" s="7" t="s">
        <v>93</v>
      </c>
      <c r="D97" s="3">
        <v>93</v>
      </c>
      <c r="F97" s="3">
        <v>2.35</v>
      </c>
      <c r="G97" s="3">
        <v>1.36</v>
      </c>
      <c r="H97" s="3">
        <v>20.25</v>
      </c>
      <c r="I97" s="3">
        <v>917</v>
      </c>
      <c r="J97" s="3">
        <v>4175</v>
      </c>
      <c r="K97" s="28">
        <v>92.143000000000001</v>
      </c>
      <c r="L97" s="28">
        <v>89.397000000000006</v>
      </c>
      <c r="M97" s="28">
        <v>87.150333333333336</v>
      </c>
      <c r="N97" s="28">
        <v>82.93</v>
      </c>
      <c r="O97" s="28">
        <v>78.989333333333335</v>
      </c>
      <c r="P97" s="28">
        <v>74.873599999999982</v>
      </c>
      <c r="Q97" s="28">
        <v>71.459000000000003</v>
      </c>
      <c r="R97" s="28">
        <v>66.039666666666676</v>
      </c>
      <c r="S97" s="28">
        <v>58.955400000000012</v>
      </c>
      <c r="T97" s="28">
        <v>51.518285714285717</v>
      </c>
      <c r="U97" s="28">
        <v>55.241999999999997</v>
      </c>
      <c r="V97" s="28">
        <v>48.981999999999999</v>
      </c>
      <c r="W97" s="28">
        <v>39.622399999999999</v>
      </c>
      <c r="X97" s="28">
        <v>23.137714285714285</v>
      </c>
      <c r="Y97" s="28">
        <v>36.442</v>
      </c>
      <c r="Z97" s="28">
        <v>29.588999999999999</v>
      </c>
      <c r="AA97" s="28">
        <v>17.720599999999997</v>
      </c>
      <c r="AB97" s="28">
        <v>16.896999999999998</v>
      </c>
      <c r="AC97" s="28"/>
      <c r="AD97" s="23"/>
      <c r="AE97" s="23"/>
      <c r="AF97" s="23"/>
      <c r="AG97" s="23"/>
      <c r="AH97" s="23"/>
      <c r="AI97" s="23"/>
      <c r="AP97" s="24">
        <v>0.42320000000000002</v>
      </c>
      <c r="AQ97" s="24">
        <v>2.5392000000000001</v>
      </c>
      <c r="AR97" s="24">
        <v>2.1160000000000001</v>
      </c>
      <c r="AS97" s="24">
        <v>7.1415000000000006</v>
      </c>
      <c r="AT97" s="24">
        <v>7.2472999999999992</v>
      </c>
      <c r="AU97" s="24">
        <v>5.9777000000000005</v>
      </c>
      <c r="AV97" s="24">
        <v>15.922899999999998</v>
      </c>
      <c r="AW97" s="24">
        <v>16.910366666666668</v>
      </c>
      <c r="AX97" s="24">
        <v>17.16076</v>
      </c>
      <c r="AY97" s="24">
        <v>14.910242857142856</v>
      </c>
      <c r="AZ97" s="24">
        <v>33.0625</v>
      </c>
      <c r="BA97" s="24">
        <v>36.465733333333333</v>
      </c>
      <c r="BB97" s="24">
        <v>41.346640000000001</v>
      </c>
      <c r="BC97" s="24">
        <v>54.018457142857137</v>
      </c>
      <c r="BD97" s="24">
        <v>70.780200000000008</v>
      </c>
      <c r="BE97" s="24">
        <v>83.652533333333324</v>
      </c>
      <c r="BF97" s="24">
        <v>119.46936000000001</v>
      </c>
      <c r="BG97" s="24">
        <v>192.23859999999999</v>
      </c>
      <c r="BH97" s="24"/>
      <c r="BO97" s="3">
        <v>280</v>
      </c>
      <c r="BP97" s="3">
        <v>282</v>
      </c>
      <c r="BQ97" s="3">
        <v>155</v>
      </c>
      <c r="BR97" s="3">
        <v>190</v>
      </c>
      <c r="BV97" s="3">
        <v>156739.13570000001</v>
      </c>
      <c r="BW97" s="3">
        <v>38311.304620000003</v>
      </c>
      <c r="BX97" s="3">
        <v>30907.401819999999</v>
      </c>
      <c r="BY97" s="3">
        <v>12634.089610000001</v>
      </c>
      <c r="BZ97" s="3">
        <v>10591.832614000001</v>
      </c>
      <c r="CA97" s="3">
        <v>9132.1515798</v>
      </c>
      <c r="CB97" s="3">
        <v>4425.4219160000002</v>
      </c>
      <c r="CC97" s="3">
        <v>3693.3448040000003</v>
      </c>
      <c r="CD97" s="3">
        <v>3048.0946462000002</v>
      </c>
      <c r="CE97" s="3">
        <v>2557.5562851428572</v>
      </c>
      <c r="CF97" s="3">
        <v>1359.7185380000001</v>
      </c>
      <c r="CG97" s="3">
        <v>1074.8661253333332</v>
      </c>
      <c r="CH97" s="3">
        <v>753.37218030000008</v>
      </c>
      <c r="CI97" s="3">
        <v>332.03593368571427</v>
      </c>
      <c r="CJ97" s="3">
        <v>319.47076229999999</v>
      </c>
      <c r="CK97" s="3">
        <v>209.19436613333332</v>
      </c>
      <c r="CL97" s="3">
        <v>78.849213927999998</v>
      </c>
      <c r="CM97" s="3">
        <v>31.879151180000001</v>
      </c>
      <c r="CU97" s="3">
        <f t="shared" si="47"/>
        <v>-313478.27140000003</v>
      </c>
      <c r="CV97" s="3">
        <f t="shared" si="48"/>
        <v>-76622.609240000005</v>
      </c>
      <c r="CW97" s="3">
        <f t="shared" si="49"/>
        <v>-61814.803639999998</v>
      </c>
      <c r="CX97" s="3">
        <f t="shared" si="50"/>
        <v>-25268.179220000002</v>
      </c>
      <c r="CY97" s="3">
        <f t="shared" si="51"/>
        <v>-21183.665228000002</v>
      </c>
      <c r="CZ97" s="3">
        <f t="shared" si="52"/>
        <v>-18264.3031596</v>
      </c>
      <c r="DA97" s="3">
        <f t="shared" si="53"/>
        <v>-8850.8438320000005</v>
      </c>
      <c r="DB97" s="3">
        <f t="shared" si="54"/>
        <v>-7386.6896080000006</v>
      </c>
      <c r="DC97" s="3">
        <f t="shared" si="55"/>
        <v>-6096.1892924000003</v>
      </c>
      <c r="DD97" s="3">
        <f t="shared" si="56"/>
        <v>-5115.1125702857144</v>
      </c>
      <c r="DE97" s="3">
        <f t="shared" si="57"/>
        <v>-2719.4370760000002</v>
      </c>
      <c r="DF97" s="3">
        <f t="shared" si="58"/>
        <v>-2149.7322506666665</v>
      </c>
      <c r="DG97" s="3">
        <f t="shared" si="63"/>
        <v>-1506.7443606000002</v>
      </c>
      <c r="DH97" s="3">
        <f t="shared" si="76"/>
        <v>-664.07186737142854</v>
      </c>
      <c r="DI97" s="3">
        <f t="shared" si="59"/>
        <v>-638.94152459999998</v>
      </c>
      <c r="DJ97" s="3">
        <f t="shared" si="69"/>
        <v>-418.38873226666664</v>
      </c>
      <c r="DK97" s="3">
        <f t="shared" si="75"/>
        <v>-157.698427856</v>
      </c>
      <c r="DL97" s="3">
        <f t="shared" si="73"/>
        <v>-63.758302360000002</v>
      </c>
      <c r="DT97" s="3">
        <f t="shared" si="60"/>
        <v>-156739.13570000001</v>
      </c>
      <c r="DU97" s="3">
        <f t="shared" si="61"/>
        <v>-38311.304620000003</v>
      </c>
      <c r="DV97" s="3">
        <f t="shared" si="62"/>
        <v>-30907.401819999999</v>
      </c>
      <c r="DW97" s="3">
        <f t="shared" si="66"/>
        <v>-12634.089610000001</v>
      </c>
      <c r="DX97" s="3">
        <f t="shared" si="67"/>
        <v>-10591.832614000001</v>
      </c>
      <c r="DY97" s="3">
        <f t="shared" si="72"/>
        <v>-9132.1515798</v>
      </c>
      <c r="DZ97" s="3">
        <f t="shared" si="71"/>
        <v>-4425.4219160000002</v>
      </c>
      <c r="EA97" s="3">
        <f t="shared" si="46"/>
        <v>-3693.3448040000003</v>
      </c>
      <c r="EB97" s="3">
        <f t="shared" si="65"/>
        <v>-3048.0946462000002</v>
      </c>
      <c r="EC97" s="3">
        <f t="shared" si="45"/>
        <v>-2557.5562851428572</v>
      </c>
      <c r="ED97" s="3">
        <f t="shared" si="68"/>
        <v>-1359.7185380000001</v>
      </c>
      <c r="EE97" s="3">
        <f t="shared" si="38"/>
        <v>-1074.8661253333332</v>
      </c>
      <c r="EF97" s="3">
        <f t="shared" si="64"/>
        <v>-753.37218030000008</v>
      </c>
      <c r="EG97" s="3">
        <f>-1*CI97</f>
        <v>-332.03593368571427</v>
      </c>
      <c r="EH97" s="3">
        <f t="shared" si="42"/>
        <v>-319.47076229999999</v>
      </c>
      <c r="EI97" s="3">
        <f t="shared" si="70"/>
        <v>-209.19436613333332</v>
      </c>
      <c r="EJ97" s="3">
        <f>-1*CL97</f>
        <v>-78.849213927999998</v>
      </c>
      <c r="EK97" s="3">
        <f t="shared" si="74"/>
        <v>-31.879151180000001</v>
      </c>
      <c r="ES97" s="3">
        <v>6.2183999999999999</v>
      </c>
      <c r="FC97" s="32">
        <v>192.23859999999999</v>
      </c>
      <c r="FD97" s="16"/>
    </row>
    <row r="98" spans="3:160" ht="16" x14ac:dyDescent="0.2">
      <c r="C98" s="7" t="s">
        <v>94</v>
      </c>
      <c r="D98" s="3">
        <v>94</v>
      </c>
      <c r="F98" s="3">
        <v>2.2200000000000002</v>
      </c>
      <c r="G98" s="3">
        <v>1.28</v>
      </c>
      <c r="H98" s="3">
        <v>19.84</v>
      </c>
      <c r="I98" s="3">
        <v>913</v>
      </c>
      <c r="J98" s="3">
        <v>3501</v>
      </c>
      <c r="K98" s="28">
        <v>93.134</v>
      </c>
      <c r="L98" s="28">
        <v>90.415999999999997</v>
      </c>
      <c r="M98" s="28">
        <v>88.144000000000005</v>
      </c>
      <c r="N98" s="28">
        <v>83.984999999999999</v>
      </c>
      <c r="O98" s="28">
        <v>79.98833333333333</v>
      </c>
      <c r="P98" s="28">
        <v>75.83120000000001</v>
      </c>
      <c r="Q98" s="28">
        <v>72.542000000000002</v>
      </c>
      <c r="R98" s="28">
        <v>67.044666666666672</v>
      </c>
      <c r="S98" s="28">
        <v>59.914599999999993</v>
      </c>
      <c r="T98" s="28">
        <v>52.554285714285712</v>
      </c>
      <c r="U98" s="28">
        <v>56.307000000000002</v>
      </c>
      <c r="V98" s="28">
        <v>49.909666666666659</v>
      </c>
      <c r="W98" s="28">
        <v>40.374400000000001</v>
      </c>
      <c r="X98" s="28">
        <v>23.255714285714284</v>
      </c>
      <c r="Y98" s="28">
        <v>36.856999999999999</v>
      </c>
      <c r="Z98" s="28">
        <v>29.632333333333332</v>
      </c>
      <c r="AA98" s="28"/>
      <c r="AB98" s="28">
        <v>16.344999999999999</v>
      </c>
      <c r="AC98" s="28"/>
      <c r="AD98" s="23"/>
      <c r="AE98" s="23"/>
      <c r="AF98" s="23"/>
      <c r="AG98" s="23"/>
      <c r="AH98" s="23"/>
      <c r="AI98" s="23"/>
      <c r="AP98" s="24">
        <v>0.42320000000000002</v>
      </c>
      <c r="AQ98" s="24">
        <v>2.4863</v>
      </c>
      <c r="AR98" s="24">
        <v>2.1160000000000001</v>
      </c>
      <c r="AS98" s="24">
        <v>7.0357000000000003</v>
      </c>
      <c r="AT98" s="24">
        <v>7.1414999999999997</v>
      </c>
      <c r="AU98" s="24">
        <v>5.8930600000000002</v>
      </c>
      <c r="AV98" s="24">
        <v>15.605499999999999</v>
      </c>
      <c r="AW98" s="24">
        <v>16.645866666666667</v>
      </c>
      <c r="AX98" s="24">
        <v>16.896259999999998</v>
      </c>
      <c r="AY98" s="24">
        <v>14.645742857142858</v>
      </c>
      <c r="AZ98" s="24">
        <v>32.427700000000002</v>
      </c>
      <c r="BA98" s="24">
        <v>35.725133333333325</v>
      </c>
      <c r="BB98" s="24">
        <v>40.531980000000004</v>
      </c>
      <c r="BC98" s="24">
        <v>52.590157142857137</v>
      </c>
      <c r="BD98" s="24">
        <v>69.563499999999991</v>
      </c>
      <c r="BE98" s="24">
        <v>82.859033333333329</v>
      </c>
      <c r="BF98" s="24"/>
      <c r="BG98" s="24">
        <v>197.74019999999999</v>
      </c>
      <c r="BH98" s="24"/>
      <c r="BO98" s="3">
        <v>278</v>
      </c>
      <c r="BP98" s="3">
        <v>281</v>
      </c>
      <c r="BQ98" s="3">
        <v>159</v>
      </c>
      <c r="BR98" s="3">
        <v>197</v>
      </c>
      <c r="BV98" s="3">
        <v>161525.41949999999</v>
      </c>
      <c r="BW98" s="3">
        <v>39606.288939999999</v>
      </c>
      <c r="BX98" s="3">
        <v>31773.92657</v>
      </c>
      <c r="BY98" s="3">
        <v>13064.46975</v>
      </c>
      <c r="BZ98" s="3">
        <v>10906.661796666667</v>
      </c>
      <c r="CA98" s="3">
        <v>9371.5225590000009</v>
      </c>
      <c r="CB98" s="3">
        <v>4592.2361339999998</v>
      </c>
      <c r="CC98" s="3">
        <v>3821.7788166666669</v>
      </c>
      <c r="CD98" s="3">
        <v>3150.4059666000003</v>
      </c>
      <c r="CE98" s="3">
        <v>2654.0120302857144</v>
      </c>
      <c r="CF98" s="3">
        <v>1424.560463</v>
      </c>
      <c r="CG98" s="3">
        <v>1123.0465833333335</v>
      </c>
      <c r="CH98" s="3">
        <v>785.74233643999992</v>
      </c>
      <c r="CI98" s="3">
        <v>343.25596087142861</v>
      </c>
      <c r="CJ98" s="3">
        <v>327.37643129999998</v>
      </c>
      <c r="CK98" s="3">
        <v>209.27062329999998</v>
      </c>
      <c r="CM98" s="3">
        <v>28.119901219999999</v>
      </c>
      <c r="CU98" s="3">
        <f t="shared" si="47"/>
        <v>-323050.83899999998</v>
      </c>
      <c r="CV98" s="3">
        <f t="shared" si="48"/>
        <v>-79212.577879999997</v>
      </c>
      <c r="CW98" s="3">
        <f t="shared" si="49"/>
        <v>-63547.853139999999</v>
      </c>
      <c r="CX98" s="3">
        <f t="shared" si="50"/>
        <v>-26128.9395</v>
      </c>
      <c r="CY98" s="3">
        <f t="shared" si="51"/>
        <v>-21813.323593333334</v>
      </c>
      <c r="CZ98" s="3">
        <f t="shared" si="52"/>
        <v>-18743.045118000002</v>
      </c>
      <c r="DA98" s="3">
        <f t="shared" si="53"/>
        <v>-9184.4722679999995</v>
      </c>
      <c r="DB98" s="3">
        <f t="shared" si="54"/>
        <v>-7643.5576333333338</v>
      </c>
      <c r="DC98" s="3">
        <f t="shared" si="55"/>
        <v>-6300.8119332000006</v>
      </c>
      <c r="DD98" s="3">
        <f t="shared" si="56"/>
        <v>-5308.0240605714289</v>
      </c>
      <c r="DE98" s="3">
        <f t="shared" si="57"/>
        <v>-2849.1209260000001</v>
      </c>
      <c r="DF98" s="3">
        <f t="shared" si="58"/>
        <v>-2246.093166666667</v>
      </c>
      <c r="DG98" s="3">
        <f t="shared" si="63"/>
        <v>-1571.4846728799998</v>
      </c>
      <c r="DH98" s="3">
        <f t="shared" si="76"/>
        <v>-686.51192174285723</v>
      </c>
      <c r="DI98" s="3">
        <f t="shared" si="59"/>
        <v>-654.75286259999996</v>
      </c>
      <c r="DJ98" s="3">
        <f t="shared" si="69"/>
        <v>-418.54124659999997</v>
      </c>
      <c r="DL98" s="3">
        <f t="shared" si="73"/>
        <v>-56.239802439999998</v>
      </c>
      <c r="DT98" s="3">
        <f t="shared" si="60"/>
        <v>-161525.41949999999</v>
      </c>
      <c r="DU98" s="3">
        <f t="shared" si="61"/>
        <v>-39606.288939999999</v>
      </c>
      <c r="DV98" s="3">
        <f t="shared" si="62"/>
        <v>-31773.92657</v>
      </c>
      <c r="DW98" s="3">
        <f t="shared" si="66"/>
        <v>-13064.46975</v>
      </c>
      <c r="DX98" s="3">
        <f t="shared" si="67"/>
        <v>-10906.661796666667</v>
      </c>
      <c r="DY98" s="3">
        <f t="shared" si="72"/>
        <v>-9371.5225590000009</v>
      </c>
      <c r="DZ98" s="3">
        <f t="shared" si="71"/>
        <v>-4592.2361339999998</v>
      </c>
      <c r="EA98" s="3">
        <f t="shared" si="46"/>
        <v>-3821.7788166666669</v>
      </c>
      <c r="EB98" s="3">
        <f t="shared" si="65"/>
        <v>-3150.4059666000003</v>
      </c>
      <c r="EC98" s="3">
        <f t="shared" si="45"/>
        <v>-2654.0120302857144</v>
      </c>
      <c r="ED98" s="3">
        <f t="shared" si="68"/>
        <v>-1424.560463</v>
      </c>
      <c r="EE98" s="3">
        <f t="shared" si="38"/>
        <v>-1123.0465833333335</v>
      </c>
      <c r="EF98" s="3">
        <f t="shared" si="64"/>
        <v>-785.74233643999992</v>
      </c>
      <c r="EG98" s="3">
        <f>-1*CI98</f>
        <v>-343.25596087142861</v>
      </c>
      <c r="EH98" s="3">
        <f t="shared" si="42"/>
        <v>-327.37643129999998</v>
      </c>
      <c r="EI98" s="3">
        <f t="shared" si="70"/>
        <v>-209.27062329999998</v>
      </c>
      <c r="EK98" s="3">
        <f t="shared" si="74"/>
        <v>-28.119901219999999</v>
      </c>
      <c r="ES98" s="3">
        <v>6.0629400000000002</v>
      </c>
      <c r="FC98" s="32">
        <v>197.74019999999999</v>
      </c>
      <c r="FD98" s="16"/>
    </row>
    <row r="99" spans="3:160" ht="16" x14ac:dyDescent="0.2">
      <c r="C99" s="7" t="s">
        <v>95</v>
      </c>
      <c r="D99" s="3">
        <v>95</v>
      </c>
      <c r="F99" s="3">
        <v>2.2799999999999998</v>
      </c>
      <c r="G99" s="3">
        <v>1.3</v>
      </c>
      <c r="H99" s="3">
        <v>13.69</v>
      </c>
      <c r="I99" s="3">
        <v>1449</v>
      </c>
      <c r="J99" s="3">
        <v>2284</v>
      </c>
      <c r="K99" s="28">
        <v>94.123000000000005</v>
      </c>
      <c r="L99" s="28">
        <v>91.435000000000002</v>
      </c>
      <c r="M99" s="28">
        <v>89.137333333333331</v>
      </c>
      <c r="N99" s="28">
        <v>85.040999999999997</v>
      </c>
      <c r="O99" s="28">
        <v>80.988</v>
      </c>
      <c r="P99" s="28">
        <v>76.788600000000002</v>
      </c>
      <c r="Q99" s="28">
        <v>73.632000000000005</v>
      </c>
      <c r="R99" s="28">
        <v>68.052999999999997</v>
      </c>
      <c r="S99" s="28">
        <v>60.873599999999996</v>
      </c>
      <c r="T99" s="28">
        <v>53.581142857142858</v>
      </c>
      <c r="U99" s="28">
        <v>57.41</v>
      </c>
      <c r="V99" s="28">
        <v>50.899666666666661</v>
      </c>
      <c r="W99" s="28">
        <v>41.282400000000003</v>
      </c>
      <c r="X99" s="28">
        <v>24.407857142857143</v>
      </c>
      <c r="Y99" s="28">
        <v>37.658000000000001</v>
      </c>
      <c r="Z99" s="28">
        <v>30.206666666666667</v>
      </c>
      <c r="AA99" s="28"/>
      <c r="AB99" s="28">
        <v>16.553000000000001</v>
      </c>
      <c r="AC99" s="28"/>
      <c r="AD99" s="23"/>
      <c r="AE99" s="23"/>
      <c r="AF99" s="23"/>
      <c r="AG99" s="23"/>
      <c r="AH99" s="23"/>
      <c r="AI99" s="23"/>
      <c r="AP99" s="24">
        <v>0.42320000000000002</v>
      </c>
      <c r="AQ99" s="24">
        <v>2.4333999999999998</v>
      </c>
      <c r="AR99" s="24">
        <v>2.0630999999999999</v>
      </c>
      <c r="AS99" s="24">
        <v>6.9298999999999999</v>
      </c>
      <c r="AT99" s="24">
        <v>7.0356999999999994</v>
      </c>
      <c r="AU99" s="24">
        <v>5.8190000000000008</v>
      </c>
      <c r="AV99" s="24">
        <v>15.393899999999999</v>
      </c>
      <c r="AW99" s="24">
        <v>16.381366666666668</v>
      </c>
      <c r="AX99" s="24">
        <v>16.663500000000003</v>
      </c>
      <c r="AY99" s="24">
        <v>14.403914285714288</v>
      </c>
      <c r="AZ99" s="24">
        <v>31.792899999999999</v>
      </c>
      <c r="BA99" s="24">
        <v>35.10796666666667</v>
      </c>
      <c r="BB99" s="24">
        <v>39.696160000000006</v>
      </c>
      <c r="BC99" s="24">
        <v>50.738657142857143</v>
      </c>
      <c r="BD99" s="24">
        <v>68.029399999999995</v>
      </c>
      <c r="BE99" s="24">
        <v>81.148600000000002</v>
      </c>
      <c r="BF99" s="24"/>
      <c r="BG99" s="24">
        <v>194.72489999999999</v>
      </c>
      <c r="BH99" s="24"/>
      <c r="BO99" s="3">
        <v>276</v>
      </c>
      <c r="BP99" s="3">
        <v>283</v>
      </c>
      <c r="BQ99" s="3">
        <v>173</v>
      </c>
      <c r="BR99" s="3">
        <v>180</v>
      </c>
      <c r="BV99" s="3">
        <v>166457.2352</v>
      </c>
      <c r="BW99" s="3">
        <v>40945.723050000001</v>
      </c>
      <c r="BX99" s="3">
        <v>32661.416786666668</v>
      </c>
      <c r="BY99" s="3">
        <v>13508.52824</v>
      </c>
      <c r="BZ99" s="3">
        <v>11228.854646666667</v>
      </c>
      <c r="CA99" s="3">
        <v>9614.1472037999993</v>
      </c>
      <c r="CB99" s="3">
        <v>4764.7582130000001</v>
      </c>
      <c r="CC99" s="3">
        <v>3953.5484913333335</v>
      </c>
      <c r="CD99" s="3">
        <v>3254.6182739999995</v>
      </c>
      <c r="CE99" s="3">
        <v>2751.6631682857146</v>
      </c>
      <c r="CF99" s="3">
        <v>1493.533729</v>
      </c>
      <c r="CG99" s="3">
        <v>1175.7049286666668</v>
      </c>
      <c r="CH99" s="3">
        <v>824.88876932000005</v>
      </c>
      <c r="CI99" s="3">
        <v>375.07404155714278</v>
      </c>
      <c r="CJ99" s="3">
        <v>344.42376460000003</v>
      </c>
      <c r="CK99" s="3">
        <v>218.45977250000001</v>
      </c>
      <c r="CM99" s="3">
        <v>28.696665549999999</v>
      </c>
      <c r="CU99" s="3">
        <f t="shared" si="47"/>
        <v>-332914.47039999999</v>
      </c>
      <c r="CV99" s="3">
        <f t="shared" si="48"/>
        <v>-81891.446100000001</v>
      </c>
      <c r="CW99" s="3">
        <f t="shared" si="49"/>
        <v>-65322.833573333337</v>
      </c>
      <c r="CX99" s="3">
        <f t="shared" si="50"/>
        <v>-27017.056479999999</v>
      </c>
      <c r="CY99" s="3">
        <f t="shared" si="51"/>
        <v>-22457.709293333333</v>
      </c>
      <c r="CZ99" s="3">
        <f t="shared" si="52"/>
        <v>-19228.294407599999</v>
      </c>
      <c r="DA99" s="3">
        <f t="shared" si="53"/>
        <v>-9529.5164260000001</v>
      </c>
      <c r="DB99" s="3">
        <f t="shared" si="54"/>
        <v>-7907.0969826666669</v>
      </c>
      <c r="DC99" s="3">
        <f t="shared" si="55"/>
        <v>-6509.2365479999989</v>
      </c>
      <c r="DD99" s="3">
        <f t="shared" si="56"/>
        <v>-5503.3263365714292</v>
      </c>
      <c r="DE99" s="3">
        <f t="shared" si="57"/>
        <v>-2987.067458</v>
      </c>
      <c r="DF99" s="3">
        <f t="shared" si="58"/>
        <v>-2351.4098573333335</v>
      </c>
      <c r="DG99" s="3">
        <f t="shared" si="63"/>
        <v>-1649.7775386400001</v>
      </c>
      <c r="DH99" s="3">
        <f t="shared" si="76"/>
        <v>-750.14808311428555</v>
      </c>
      <c r="DI99" s="3">
        <f t="shared" si="59"/>
        <v>-688.84752920000005</v>
      </c>
      <c r="DJ99" s="3">
        <f t="shared" si="69"/>
        <v>-436.91954500000003</v>
      </c>
      <c r="DL99" s="3">
        <f t="shared" si="73"/>
        <v>-57.393331099999997</v>
      </c>
      <c r="DT99" s="3">
        <f t="shared" si="60"/>
        <v>-166457.2352</v>
      </c>
      <c r="DU99" s="3">
        <f t="shared" si="61"/>
        <v>-40945.723050000001</v>
      </c>
      <c r="DV99" s="3">
        <f t="shared" si="62"/>
        <v>-32661.416786666668</v>
      </c>
      <c r="DW99" s="3">
        <f t="shared" si="66"/>
        <v>-13508.52824</v>
      </c>
      <c r="DX99" s="3">
        <f t="shared" si="67"/>
        <v>-11228.854646666667</v>
      </c>
      <c r="DY99" s="3">
        <f t="shared" si="72"/>
        <v>-9614.1472037999993</v>
      </c>
      <c r="DZ99" s="3">
        <f t="shared" si="71"/>
        <v>-4764.7582130000001</v>
      </c>
      <c r="EA99" s="3">
        <f t="shared" si="46"/>
        <v>-3953.5484913333335</v>
      </c>
      <c r="EB99" s="3">
        <f t="shared" si="65"/>
        <v>-3254.6182739999995</v>
      </c>
      <c r="EC99" s="3">
        <f t="shared" si="45"/>
        <v>-2751.6631682857146</v>
      </c>
      <c r="ED99" s="3">
        <f t="shared" si="68"/>
        <v>-1493.533729</v>
      </c>
      <c r="EE99" s="3">
        <f t="shared" si="38"/>
        <v>-1175.7049286666668</v>
      </c>
      <c r="EF99" s="3">
        <f t="shared" si="64"/>
        <v>-824.88876932000005</v>
      </c>
      <c r="EG99" s="3">
        <f>-1*CI99</f>
        <v>-375.07404155714278</v>
      </c>
      <c r="EH99" s="3">
        <f t="shared" si="42"/>
        <v>-344.42376460000003</v>
      </c>
      <c r="EI99" s="3">
        <f t="shared" si="70"/>
        <v>-218.45977250000001</v>
      </c>
      <c r="EK99" s="3">
        <f t="shared" si="74"/>
        <v>-28.696665549999999</v>
      </c>
      <c r="ES99" s="3">
        <v>5.9903919999999999</v>
      </c>
      <c r="FC99" s="32">
        <v>194.72489999999999</v>
      </c>
      <c r="FD99" s="16"/>
    </row>
    <row r="100" spans="3:160" ht="16" x14ac:dyDescent="0.2">
      <c r="C100" s="7" t="s">
        <v>96</v>
      </c>
      <c r="D100" s="3">
        <v>96</v>
      </c>
      <c r="F100" s="3">
        <v>2.31</v>
      </c>
      <c r="G100" s="3">
        <v>1.28</v>
      </c>
      <c r="H100" s="3">
        <v>13.51</v>
      </c>
      <c r="I100" s="3">
        <v>1618</v>
      </c>
      <c r="J100" s="3">
        <v>3400</v>
      </c>
      <c r="K100" s="28">
        <v>95.114999999999995</v>
      </c>
      <c r="L100" s="28">
        <v>92.454999999999998</v>
      </c>
      <c r="M100" s="28">
        <v>90.13</v>
      </c>
      <c r="N100" s="28">
        <v>86.1</v>
      </c>
      <c r="O100" s="28">
        <v>81.988</v>
      </c>
      <c r="P100" s="28">
        <v>77.74499999999999</v>
      </c>
      <c r="Q100" s="28">
        <v>74.727999999999994</v>
      </c>
      <c r="R100" s="28">
        <v>69.063333333333333</v>
      </c>
      <c r="S100" s="28">
        <v>61.833799999999997</v>
      </c>
      <c r="T100" s="28">
        <v>54.59957142857143</v>
      </c>
      <c r="U100" s="28">
        <v>58.546999999999997</v>
      </c>
      <c r="V100" s="28">
        <v>51.943333333333335</v>
      </c>
      <c r="W100" s="28">
        <v>42.327399999999997</v>
      </c>
      <c r="X100" s="28">
        <v>26.409714285714283</v>
      </c>
      <c r="Y100" s="28">
        <v>38.863999999999997</v>
      </c>
      <c r="Z100" s="28">
        <v>31.355333333333334</v>
      </c>
      <c r="AA100" s="28">
        <v>17.895800000000001</v>
      </c>
      <c r="AB100" s="28">
        <v>17.687000000000001</v>
      </c>
      <c r="AC100" s="28"/>
      <c r="AD100" s="23"/>
      <c r="AE100" s="23"/>
      <c r="AF100" s="23"/>
      <c r="AG100" s="23"/>
      <c r="AH100" s="23"/>
      <c r="AI100" s="23"/>
      <c r="AP100" s="24">
        <v>0.42320000000000002</v>
      </c>
      <c r="AQ100" s="24">
        <v>2.4333999999999998</v>
      </c>
      <c r="AR100" s="24">
        <v>2.0454666666666665</v>
      </c>
      <c r="AS100" s="24">
        <v>6.8240999999999996</v>
      </c>
      <c r="AT100" s="24">
        <v>6.9651666666666676</v>
      </c>
      <c r="AU100" s="24">
        <v>5.7343600000000006</v>
      </c>
      <c r="AV100" s="24">
        <v>15.129399999999999</v>
      </c>
      <c r="AW100" s="24">
        <v>16.152133333333332</v>
      </c>
      <c r="AX100" s="24">
        <v>16.398999999999997</v>
      </c>
      <c r="AY100" s="24">
        <v>14.139414285714285</v>
      </c>
      <c r="AZ100" s="24">
        <v>31.210999999999999</v>
      </c>
      <c r="BA100" s="24">
        <v>34.437899999999999</v>
      </c>
      <c r="BB100" s="24">
        <v>38.870919999999998</v>
      </c>
      <c r="BC100" s="24">
        <v>48.191899999999997</v>
      </c>
      <c r="BD100" s="24">
        <v>66.230800000000002</v>
      </c>
      <c r="BE100" s="24">
        <v>78.697566666666674</v>
      </c>
      <c r="BF100" s="24">
        <v>114.50734</v>
      </c>
      <c r="BG100" s="24">
        <v>182.76949999999999</v>
      </c>
      <c r="BH100" s="24"/>
      <c r="BO100" s="3">
        <v>264</v>
      </c>
      <c r="BP100" s="3">
        <v>305</v>
      </c>
      <c r="BQ100" s="3">
        <v>174</v>
      </c>
      <c r="BR100" s="3">
        <v>169</v>
      </c>
      <c r="ES100" s="3">
        <v>6.0214840000000001</v>
      </c>
      <c r="FC100" s="32">
        <v>182.76949999999999</v>
      </c>
      <c r="FD100" s="16"/>
    </row>
    <row r="101" spans="3:160" ht="16" x14ac:dyDescent="0.2">
      <c r="C101" s="7" t="s">
        <v>97</v>
      </c>
      <c r="D101" s="3">
        <v>97</v>
      </c>
      <c r="F101" s="3">
        <v>2.08</v>
      </c>
      <c r="G101" s="3">
        <v>1.3</v>
      </c>
      <c r="H101" s="3">
        <v>14</v>
      </c>
      <c r="I101" s="3">
        <v>1323</v>
      </c>
      <c r="K101" s="28">
        <v>96.105000000000004</v>
      </c>
      <c r="L101" s="28">
        <v>93.475999999999999</v>
      </c>
      <c r="M101" s="28">
        <v>91.12466666666667</v>
      </c>
      <c r="N101" s="28">
        <v>87.161000000000001</v>
      </c>
      <c r="O101" s="28">
        <v>82.990000000000009</v>
      </c>
      <c r="P101" s="28">
        <v>78.701599999999999</v>
      </c>
      <c r="Q101" s="28">
        <v>75.823999999999998</v>
      </c>
      <c r="R101" s="28">
        <v>70.073666666666668</v>
      </c>
      <c r="S101" s="28">
        <v>62.789400000000001</v>
      </c>
      <c r="T101" s="28">
        <v>55.607142857142854</v>
      </c>
      <c r="U101" s="28">
        <v>59.616</v>
      </c>
      <c r="V101" s="28">
        <v>52.862000000000002</v>
      </c>
      <c r="W101" s="28">
        <v>43.063200000000002</v>
      </c>
      <c r="X101" s="28">
        <v>26.066428571428567</v>
      </c>
      <c r="Y101" s="28">
        <v>39.286999999999999</v>
      </c>
      <c r="Z101" s="28">
        <v>31.365666666666666</v>
      </c>
      <c r="AA101" s="28"/>
      <c r="AB101" s="28">
        <v>17.041</v>
      </c>
      <c r="AC101" s="28"/>
      <c r="AD101" s="23"/>
      <c r="AE101" s="23"/>
      <c r="AF101" s="23"/>
      <c r="AG101" s="23"/>
      <c r="AH101" s="23"/>
      <c r="AI101" s="23"/>
      <c r="AP101" s="24">
        <v>0.37030000000000002</v>
      </c>
      <c r="AQ101" s="24">
        <v>2.3805000000000001</v>
      </c>
      <c r="AR101" s="24">
        <v>2.0101999999999998</v>
      </c>
      <c r="AS101" s="24">
        <v>6.7183000000000002</v>
      </c>
      <c r="AT101" s="24">
        <v>6.8593666666666664</v>
      </c>
      <c r="AU101" s="24">
        <v>5.6603000000000003</v>
      </c>
      <c r="AV101" s="24">
        <v>14.8649</v>
      </c>
      <c r="AW101" s="24">
        <v>15.905266666666668</v>
      </c>
      <c r="AX101" s="24">
        <v>16.187399999999997</v>
      </c>
      <c r="AY101" s="24">
        <v>13.927814285714286</v>
      </c>
      <c r="AZ101" s="24">
        <v>30.576199999999996</v>
      </c>
      <c r="BA101" s="24">
        <v>33.838366666666666</v>
      </c>
      <c r="BB101" s="24">
        <v>38.151479999999999</v>
      </c>
      <c r="BC101" s="24">
        <v>47.625114285714282</v>
      </c>
      <c r="BD101" s="24">
        <v>65.172799999999995</v>
      </c>
      <c r="BE101" s="24">
        <v>78.062766666666661</v>
      </c>
      <c r="BF101" s="24"/>
      <c r="BG101" s="24">
        <v>188.4298</v>
      </c>
      <c r="BH101" s="24"/>
      <c r="BP101" s="3">
        <v>340</v>
      </c>
      <c r="BQ101" s="3">
        <v>170</v>
      </c>
      <c r="ES101" s="3">
        <v>6.228764</v>
      </c>
      <c r="FC101" s="32">
        <v>188.4298</v>
      </c>
      <c r="FD101" s="16"/>
    </row>
    <row r="102" spans="3:160" ht="16" x14ac:dyDescent="0.2">
      <c r="C102" s="7" t="s">
        <v>98</v>
      </c>
      <c r="D102" s="3">
        <v>98</v>
      </c>
      <c r="F102" s="3">
        <v>2.1800000000000002</v>
      </c>
      <c r="G102" s="3">
        <v>1.3</v>
      </c>
      <c r="I102" s="3">
        <v>1173</v>
      </c>
      <c r="K102" s="28">
        <v>97.093000000000004</v>
      </c>
      <c r="L102" s="28">
        <v>94.495000000000005</v>
      </c>
      <c r="M102" s="28">
        <v>92.118333333333339</v>
      </c>
      <c r="N102" s="28">
        <v>88.221999999999994</v>
      </c>
      <c r="O102" s="28">
        <v>83.992000000000004</v>
      </c>
      <c r="P102" s="28">
        <v>79.657799999999995</v>
      </c>
      <c r="Q102" s="28">
        <v>76.924000000000007</v>
      </c>
      <c r="R102" s="28">
        <v>71.085333333333338</v>
      </c>
      <c r="S102" s="28">
        <v>63.745600000000003</v>
      </c>
      <c r="T102" s="28">
        <v>56.613999999999997</v>
      </c>
      <c r="U102" s="28">
        <v>60.719000000000001</v>
      </c>
      <c r="V102" s="28">
        <v>53.835000000000001</v>
      </c>
      <c r="W102" s="28">
        <v>43.936599999999999</v>
      </c>
      <c r="X102" s="28">
        <v>26.927714285714281</v>
      </c>
      <c r="Y102" s="28">
        <v>40.085999999999999</v>
      </c>
      <c r="Z102" s="28">
        <v>31.916666666666668</v>
      </c>
      <c r="AA102" s="28"/>
      <c r="AB102" s="28">
        <v>17.27</v>
      </c>
      <c r="AC102" s="28"/>
      <c r="AD102" s="23"/>
      <c r="AE102" s="23"/>
      <c r="AF102" s="23"/>
      <c r="AG102" s="23"/>
      <c r="AH102" s="23"/>
      <c r="AI102" s="23"/>
      <c r="AP102" s="24">
        <v>0.37030000000000002</v>
      </c>
      <c r="AQ102" s="24">
        <v>2.3275999999999999</v>
      </c>
      <c r="AR102" s="24">
        <v>1.9925666666666666</v>
      </c>
      <c r="AS102" s="24">
        <v>6.6124999999999998</v>
      </c>
      <c r="AT102" s="24">
        <v>6.7535666666666669</v>
      </c>
      <c r="AU102" s="24">
        <v>5.6074000000000002</v>
      </c>
      <c r="AV102" s="24">
        <v>14.653300000000002</v>
      </c>
      <c r="AW102" s="24">
        <v>15.676033333333335</v>
      </c>
      <c r="AX102" s="24">
        <v>15.922899999999998</v>
      </c>
      <c r="AY102" s="24">
        <v>13.693542857142857</v>
      </c>
      <c r="AZ102" s="24">
        <v>30.047199999999997</v>
      </c>
      <c r="BA102" s="24">
        <v>33.238833333333332</v>
      </c>
      <c r="BB102" s="24">
        <v>37.442619999999991</v>
      </c>
      <c r="BC102" s="24">
        <v>46.272385714285704</v>
      </c>
      <c r="BD102" s="24">
        <v>63.797399999999996</v>
      </c>
      <c r="BE102" s="24">
        <v>76.563933333333338</v>
      </c>
      <c r="BF102" s="24"/>
      <c r="BG102" s="24">
        <v>185.57319999999999</v>
      </c>
      <c r="BH102" s="24"/>
      <c r="BP102" s="3">
        <v>305</v>
      </c>
      <c r="BQ102" s="3">
        <v>186</v>
      </c>
      <c r="ES102" s="3">
        <v>6.3013120000000002</v>
      </c>
      <c r="FC102" s="32">
        <v>185.57319999999999</v>
      </c>
      <c r="FD102" s="16"/>
    </row>
    <row r="103" spans="3:160" ht="16" x14ac:dyDescent="0.2">
      <c r="C103" s="7" t="s">
        <v>99</v>
      </c>
      <c r="D103" s="3">
        <v>99</v>
      </c>
      <c r="F103" s="3">
        <v>2.29</v>
      </c>
      <c r="G103" s="3">
        <v>1.3</v>
      </c>
      <c r="I103" s="3">
        <v>1133</v>
      </c>
      <c r="K103" s="28">
        <v>98.081000000000003</v>
      </c>
      <c r="L103" s="28">
        <v>95.515000000000001</v>
      </c>
      <c r="M103" s="28">
        <v>93.112000000000009</v>
      </c>
      <c r="N103" s="28">
        <v>89.286000000000001</v>
      </c>
      <c r="O103" s="28">
        <v>84.995999999999995</v>
      </c>
      <c r="P103" s="28">
        <v>80.614000000000004</v>
      </c>
      <c r="Q103" s="28">
        <v>78.028999999999996</v>
      </c>
      <c r="R103" s="28">
        <v>72.098666666666659</v>
      </c>
      <c r="S103" s="28">
        <v>64.7</v>
      </c>
      <c r="T103" s="28">
        <v>57.615285714285719</v>
      </c>
      <c r="U103" s="28">
        <v>61.823999999999998</v>
      </c>
      <c r="V103" s="28">
        <v>54.806333333333335</v>
      </c>
      <c r="W103" s="28">
        <v>44.804600000000008</v>
      </c>
      <c r="X103" s="28">
        <v>27.775285714285712</v>
      </c>
      <c r="Y103" s="28">
        <v>40.889000000000003</v>
      </c>
      <c r="Z103" s="28">
        <v>32.465333333333334</v>
      </c>
      <c r="AA103" s="28"/>
      <c r="AB103" s="28">
        <v>17.501000000000001</v>
      </c>
      <c r="AC103" s="28"/>
      <c r="AD103" s="23"/>
      <c r="AE103" s="23"/>
      <c r="AF103" s="23"/>
      <c r="AG103" s="23"/>
      <c r="AH103" s="23"/>
      <c r="AI103" s="23"/>
      <c r="AP103" s="24">
        <v>0.37030000000000002</v>
      </c>
      <c r="AQ103" s="24">
        <v>2.2746999999999997</v>
      </c>
      <c r="AR103" s="24">
        <v>1.9396666666666667</v>
      </c>
      <c r="AS103" s="24">
        <v>6.5066999999999995</v>
      </c>
      <c r="AT103" s="24">
        <v>6.6830333333333334</v>
      </c>
      <c r="AU103" s="24">
        <v>5.5015999999999998</v>
      </c>
      <c r="AV103" s="24">
        <v>14.3888</v>
      </c>
      <c r="AW103" s="24">
        <v>15.446799999999998</v>
      </c>
      <c r="AX103" s="24">
        <v>15.711299999999998</v>
      </c>
      <c r="AY103" s="24">
        <v>13.481942857142856</v>
      </c>
      <c r="AZ103" s="24">
        <v>29.465300000000003</v>
      </c>
      <c r="BA103" s="24">
        <v>32.674566666666664</v>
      </c>
      <c r="BB103" s="24">
        <v>36.723179999999999</v>
      </c>
      <c r="BC103" s="24">
        <v>44.980114285714286</v>
      </c>
      <c r="BD103" s="24">
        <v>62.527799999999992</v>
      </c>
      <c r="BE103" s="24">
        <v>75.206166666666661</v>
      </c>
      <c r="BF103" s="24"/>
      <c r="BG103" s="24">
        <v>182.76949999999999</v>
      </c>
      <c r="BH103" s="24"/>
      <c r="BP103" s="3">
        <v>270</v>
      </c>
      <c r="BQ103" s="3">
        <v>186</v>
      </c>
      <c r="ES103" s="3">
        <v>6.4153160000000007</v>
      </c>
      <c r="FC103" s="32">
        <v>182.76949999999999</v>
      </c>
      <c r="FD103" s="16"/>
    </row>
    <row r="104" spans="3:160" ht="16" x14ac:dyDescent="0.2">
      <c r="C104" s="7" t="s">
        <v>100</v>
      </c>
      <c r="D104" s="3">
        <v>100</v>
      </c>
      <c r="F104" s="3">
        <v>2.38</v>
      </c>
      <c r="G104" s="3">
        <v>1.3</v>
      </c>
      <c r="I104" s="3">
        <v>1800</v>
      </c>
      <c r="K104" s="28">
        <v>99.066999999999993</v>
      </c>
      <c r="L104" s="28">
        <v>96.534000000000006</v>
      </c>
      <c r="M104" s="28">
        <v>94.105000000000004</v>
      </c>
      <c r="N104" s="28">
        <v>90.352000000000004</v>
      </c>
      <c r="O104" s="28">
        <v>85.99966666666667</v>
      </c>
      <c r="P104" s="28">
        <v>81.570000000000007</v>
      </c>
      <c r="Q104" s="28">
        <v>79.137</v>
      </c>
      <c r="R104" s="28">
        <v>73.11366666666666</v>
      </c>
      <c r="S104" s="28">
        <v>65.653400000000005</v>
      </c>
      <c r="T104" s="28">
        <v>58.60857142857143</v>
      </c>
      <c r="U104" s="28">
        <v>62.932000000000002</v>
      </c>
      <c r="V104" s="28">
        <v>55.774666666666668</v>
      </c>
      <c r="W104" s="28">
        <v>45.664400000000001</v>
      </c>
      <c r="X104" s="28">
        <v>28.604285714285716</v>
      </c>
      <c r="Y104" s="28">
        <v>41.695</v>
      </c>
      <c r="Z104" s="28">
        <v>33.009333333333331</v>
      </c>
      <c r="AA104" s="28"/>
      <c r="AB104" s="28">
        <v>17.734999999999999</v>
      </c>
      <c r="AC104" s="28"/>
      <c r="AD104" s="23"/>
      <c r="AE104" s="23"/>
      <c r="AF104" s="23"/>
      <c r="AG104" s="23"/>
      <c r="AH104" s="23"/>
      <c r="AI104" s="23"/>
      <c r="AP104" s="24">
        <v>0.37030000000000002</v>
      </c>
      <c r="AQ104" s="24">
        <v>2.2746999999999997</v>
      </c>
      <c r="AR104" s="24">
        <v>1.9396666666666667</v>
      </c>
      <c r="AS104" s="24">
        <v>6.4009</v>
      </c>
      <c r="AT104" s="24">
        <v>6.577233333333333</v>
      </c>
      <c r="AU104" s="24">
        <v>5.4487000000000005</v>
      </c>
      <c r="AV104" s="24">
        <v>14.177200000000001</v>
      </c>
      <c r="AW104" s="24">
        <v>15.235199999999999</v>
      </c>
      <c r="AX104" s="24">
        <v>15.499699999999999</v>
      </c>
      <c r="AY104" s="24">
        <v>13.270342857142856</v>
      </c>
      <c r="AZ104" s="24">
        <v>28.936300000000003</v>
      </c>
      <c r="BA104" s="24">
        <v>32.110300000000002</v>
      </c>
      <c r="BB104" s="24">
        <v>36.067219999999999</v>
      </c>
      <c r="BC104" s="24">
        <v>43.816314285714284</v>
      </c>
      <c r="BD104" s="24">
        <v>61.258199999999995</v>
      </c>
      <c r="BE104" s="24">
        <v>73.88366666666667</v>
      </c>
      <c r="BF104" s="24"/>
      <c r="BG104" s="24">
        <v>179.9658</v>
      </c>
      <c r="BH104" s="24"/>
      <c r="ES104" s="3">
        <v>6.4982280000000001</v>
      </c>
      <c r="FC104" s="32">
        <v>179.9658</v>
      </c>
      <c r="FD104" s="16"/>
    </row>
    <row r="105" spans="3:160" ht="16" x14ac:dyDescent="0.2">
      <c r="C105" s="7" t="s">
        <v>101</v>
      </c>
      <c r="D105" s="3">
        <v>101</v>
      </c>
      <c r="F105" s="3">
        <v>2.4700000000000002</v>
      </c>
      <c r="G105" s="3">
        <v>1.3</v>
      </c>
      <c r="I105" s="3">
        <v>1100</v>
      </c>
      <c r="K105" s="28">
        <v>100.051</v>
      </c>
      <c r="L105" s="28">
        <v>97.552000000000007</v>
      </c>
      <c r="M105" s="28">
        <v>95.098666666666659</v>
      </c>
      <c r="N105" s="28">
        <v>91.418000000000006</v>
      </c>
      <c r="O105" s="28">
        <v>87.005333333333326</v>
      </c>
      <c r="P105" s="28">
        <v>82.525600000000011</v>
      </c>
      <c r="Q105" s="28">
        <v>80.248999999999995</v>
      </c>
      <c r="R105" s="28">
        <v>74.129666666666665</v>
      </c>
      <c r="S105" s="28">
        <v>66.605199999999996</v>
      </c>
      <c r="T105" s="28">
        <v>59.605714285714285</v>
      </c>
      <c r="U105" s="28">
        <v>64.040999999999997</v>
      </c>
      <c r="V105" s="28">
        <v>56.740666666666669</v>
      </c>
      <c r="W105" s="28">
        <v>46.517000000000003</v>
      </c>
      <c r="X105" s="28">
        <v>29.442428571428568</v>
      </c>
      <c r="Y105" s="28">
        <v>42.497999999999998</v>
      </c>
      <c r="Z105" s="28">
        <v>33.539666666666669</v>
      </c>
      <c r="AA105" s="28"/>
      <c r="AB105" s="28">
        <v>17.963999999999999</v>
      </c>
      <c r="AC105" s="28"/>
      <c r="AD105" s="23"/>
      <c r="AE105" s="23"/>
      <c r="AF105" s="23"/>
      <c r="AG105" s="23"/>
      <c r="AH105" s="23"/>
      <c r="AI105" s="23"/>
      <c r="AP105" s="24">
        <v>0.37030000000000002</v>
      </c>
      <c r="AQ105" s="24">
        <v>2.2218</v>
      </c>
      <c r="AR105" s="24">
        <v>1.8867666666666665</v>
      </c>
      <c r="AS105" s="24">
        <v>6.2950999999999997</v>
      </c>
      <c r="AT105" s="24">
        <v>6.4890666666666661</v>
      </c>
      <c r="AU105" s="24">
        <v>5.3957999999999995</v>
      </c>
      <c r="AV105" s="24">
        <v>13.9656</v>
      </c>
      <c r="AW105" s="24">
        <v>15.005966666666666</v>
      </c>
      <c r="AX105" s="24">
        <v>15.288099999999996</v>
      </c>
      <c r="AY105" s="24">
        <v>13.058742857142857</v>
      </c>
      <c r="AZ105" s="24">
        <v>28.407299999999999</v>
      </c>
      <c r="BA105" s="24">
        <v>31.546033333333337</v>
      </c>
      <c r="BB105" s="24">
        <v>35.43242</v>
      </c>
      <c r="BC105" s="24">
        <v>42.675185714285711</v>
      </c>
      <c r="BD105" s="24">
        <v>60.041499999999999</v>
      </c>
      <c r="BE105" s="24">
        <v>72.631699999999995</v>
      </c>
      <c r="BF105" s="24"/>
      <c r="BG105" s="24">
        <v>177.37370000000001</v>
      </c>
      <c r="BH105" s="24"/>
      <c r="ES105" s="3">
        <v>6.5811400000000004</v>
      </c>
      <c r="FC105" s="32">
        <v>177.37370000000001</v>
      </c>
      <c r="FD105" s="16"/>
    </row>
    <row r="106" spans="3:160" ht="16" x14ac:dyDescent="0.2">
      <c r="C106" s="7" t="s">
        <v>102</v>
      </c>
      <c r="D106" s="3">
        <v>102</v>
      </c>
      <c r="F106" s="3">
        <v>2.06</v>
      </c>
      <c r="G106" s="3">
        <v>1.3</v>
      </c>
      <c r="I106" s="3">
        <v>1100</v>
      </c>
      <c r="K106" s="28">
        <v>101.03400000000001</v>
      </c>
      <c r="L106" s="28">
        <v>98.570999999999998</v>
      </c>
      <c r="M106" s="28">
        <v>96.092333333333329</v>
      </c>
      <c r="N106" s="28">
        <v>92.486999999999995</v>
      </c>
      <c r="O106" s="28">
        <v>88.011666666666656</v>
      </c>
      <c r="P106" s="28">
        <v>83.480999999999995</v>
      </c>
      <c r="Q106" s="28">
        <v>81.364000000000004</v>
      </c>
      <c r="R106" s="28">
        <v>75.147000000000006</v>
      </c>
      <c r="S106" s="28">
        <v>67.555800000000005</v>
      </c>
      <c r="T106" s="28">
        <v>60.612571428571428</v>
      </c>
      <c r="U106" s="28">
        <v>65.153999999999996</v>
      </c>
      <c r="V106" s="28">
        <v>57.704000000000001</v>
      </c>
      <c r="W106" s="28">
        <v>47.360799999999998</v>
      </c>
      <c r="X106" s="28">
        <v>30.286142857142856</v>
      </c>
      <c r="Y106" s="28">
        <v>43.298000000000002</v>
      </c>
      <c r="Z106" s="28">
        <v>34.056000000000004</v>
      </c>
      <c r="AA106" s="28"/>
      <c r="AB106" s="28">
        <v>18.190000000000001</v>
      </c>
      <c r="AC106" s="28"/>
      <c r="AD106" s="23"/>
      <c r="AE106" s="23"/>
      <c r="AF106" s="23"/>
      <c r="AG106" s="23"/>
      <c r="AH106" s="23"/>
      <c r="AI106" s="23"/>
      <c r="AP106" s="24">
        <v>0.37030000000000002</v>
      </c>
      <c r="AQ106" s="24">
        <v>2.1688999999999998</v>
      </c>
      <c r="AR106" s="24">
        <v>1.8867666666666665</v>
      </c>
      <c r="AS106" s="24">
        <v>6.1893000000000002</v>
      </c>
      <c r="AT106" s="24">
        <v>6.4185333333333325</v>
      </c>
      <c r="AU106" s="24">
        <v>5.3429000000000002</v>
      </c>
      <c r="AV106" s="24">
        <v>13.754</v>
      </c>
      <c r="AW106" s="24">
        <v>14.794366666666667</v>
      </c>
      <c r="AX106" s="24">
        <v>15.076500000000001</v>
      </c>
      <c r="AY106" s="24">
        <v>12.869814285714284</v>
      </c>
      <c r="AZ106" s="24">
        <v>27.9312</v>
      </c>
      <c r="BA106" s="24">
        <v>31.034666666666666</v>
      </c>
      <c r="BB106" s="24">
        <v>34.829359999999994</v>
      </c>
      <c r="BC106" s="24">
        <v>41.670085714285719</v>
      </c>
      <c r="BD106" s="24">
        <v>58.877699999999997</v>
      </c>
      <c r="BE106" s="24">
        <v>71.432633333333328</v>
      </c>
      <c r="BF106" s="24"/>
      <c r="BG106" s="24">
        <v>174.83449999999999</v>
      </c>
      <c r="BH106" s="24"/>
      <c r="ES106" s="3">
        <v>6.6536880000000007</v>
      </c>
      <c r="FC106" s="32">
        <v>174.83449999999999</v>
      </c>
      <c r="FD106" s="16"/>
    </row>
    <row r="107" spans="3:160" ht="16" x14ac:dyDescent="0.2">
      <c r="C107" s="7" t="s">
        <v>103</v>
      </c>
      <c r="D107" s="3">
        <v>103</v>
      </c>
      <c r="F107" s="3">
        <v>2.1</v>
      </c>
      <c r="G107" s="3">
        <v>1.3</v>
      </c>
      <c r="I107" s="3">
        <v>1900</v>
      </c>
      <c r="K107" s="28">
        <v>102.017</v>
      </c>
      <c r="L107" s="28">
        <v>99.588999999999999</v>
      </c>
      <c r="M107" s="28">
        <v>97.085333333333324</v>
      </c>
      <c r="N107" s="28">
        <v>93.558000000000007</v>
      </c>
      <c r="O107" s="28">
        <v>89.018333333333331</v>
      </c>
      <c r="P107" s="28">
        <v>84.435599999999994</v>
      </c>
      <c r="Q107" s="28">
        <v>82.484999999999999</v>
      </c>
      <c r="R107" s="28">
        <v>76.166999999999987</v>
      </c>
      <c r="S107" s="28">
        <v>68.506</v>
      </c>
      <c r="T107" s="28">
        <v>61.598000000000006</v>
      </c>
      <c r="U107" s="28">
        <v>66.298000000000002</v>
      </c>
      <c r="V107" s="28">
        <v>58.714666666666666</v>
      </c>
      <c r="W107" s="28">
        <v>48.313000000000002</v>
      </c>
      <c r="X107" s="28">
        <v>32.173571428571428</v>
      </c>
      <c r="Y107" s="28">
        <v>44.622999999999998</v>
      </c>
      <c r="Z107" s="28">
        <v>35.496333333333332</v>
      </c>
      <c r="AA107" s="28"/>
      <c r="AB107" s="28">
        <v>20.817</v>
      </c>
      <c r="AC107" s="28">
        <v>15.583</v>
      </c>
      <c r="AD107" s="23"/>
      <c r="AE107" s="23"/>
      <c r="AF107" s="23"/>
      <c r="AG107" s="23"/>
      <c r="AH107" s="23"/>
      <c r="AI107" s="23"/>
      <c r="AP107" s="24">
        <v>0.37030000000000002</v>
      </c>
      <c r="AQ107" s="24">
        <v>2.1688999999999998</v>
      </c>
      <c r="AR107" s="24">
        <v>1.8338666666666665</v>
      </c>
      <c r="AS107" s="24">
        <v>6.0834999999999999</v>
      </c>
      <c r="AT107" s="24">
        <v>6.3127333333333331</v>
      </c>
      <c r="AU107" s="24">
        <v>5.26884</v>
      </c>
      <c r="AV107" s="24">
        <v>13.542400000000001</v>
      </c>
      <c r="AW107" s="24">
        <v>14.582766666666664</v>
      </c>
      <c r="AX107" s="24">
        <v>14.8649</v>
      </c>
      <c r="AY107" s="24">
        <v>12.658214285714283</v>
      </c>
      <c r="AZ107" s="24">
        <v>27.402200000000001</v>
      </c>
      <c r="BA107" s="24">
        <v>30.523299999999995</v>
      </c>
      <c r="BB107" s="24">
        <v>34.215719999999997</v>
      </c>
      <c r="BC107" s="24">
        <v>40.476057142857144</v>
      </c>
      <c r="BD107" s="24">
        <v>57.449400000000004</v>
      </c>
      <c r="BE107" s="24">
        <v>69.387166666666658</v>
      </c>
      <c r="BF107" s="24"/>
      <c r="BG107" s="24">
        <v>156.53110000000001</v>
      </c>
      <c r="BH107" s="24">
        <v>201.70770000000002</v>
      </c>
      <c r="FC107" s="32">
        <v>201.70770000000002</v>
      </c>
      <c r="FD107" s="16"/>
    </row>
    <row r="108" spans="3:160" ht="16" x14ac:dyDescent="0.2">
      <c r="C108" s="7" t="s">
        <v>104</v>
      </c>
      <c r="D108" s="3">
        <v>104</v>
      </c>
      <c r="F108" s="3">
        <v>2.27</v>
      </c>
      <c r="K108" s="28">
        <v>102.997</v>
      </c>
      <c r="L108" s="28">
        <v>100.607</v>
      </c>
      <c r="M108" s="28">
        <v>98.078000000000017</v>
      </c>
      <c r="N108" s="28">
        <v>94.629000000000005</v>
      </c>
      <c r="O108" s="28">
        <v>90.025666666666666</v>
      </c>
      <c r="P108" s="28">
        <v>85.388999999999996</v>
      </c>
      <c r="Q108" s="28">
        <v>83.61</v>
      </c>
      <c r="R108" s="28">
        <v>77.189333333333323</v>
      </c>
      <c r="S108" s="28">
        <v>69.457999999999998</v>
      </c>
      <c r="T108" s="28">
        <v>62.580571428571425</v>
      </c>
      <c r="U108" s="28">
        <v>67.453999999999994</v>
      </c>
      <c r="V108" s="28">
        <v>59.748333333333335</v>
      </c>
      <c r="W108" s="28">
        <v>49.311400000000006</v>
      </c>
      <c r="X108" s="28">
        <v>33.652999999999999</v>
      </c>
      <c r="Y108" s="28">
        <v>45.762</v>
      </c>
      <c r="Z108" s="28">
        <v>36.417999999999999</v>
      </c>
      <c r="AA108" s="28">
        <v>19.114599999999999</v>
      </c>
      <c r="AB108" s="28">
        <v>20.956</v>
      </c>
      <c r="AC108" s="28"/>
      <c r="AD108" s="23"/>
      <c r="AE108" s="23"/>
      <c r="AF108" s="23"/>
      <c r="AG108" s="23"/>
      <c r="AH108" s="23"/>
      <c r="AI108" s="23"/>
      <c r="AP108" s="24">
        <v>0.31740000000000002</v>
      </c>
      <c r="AQ108" s="24">
        <v>2.1160000000000001</v>
      </c>
      <c r="AR108" s="24">
        <v>1.8162333333333334</v>
      </c>
      <c r="AS108" s="24">
        <v>5.9776999999999996</v>
      </c>
      <c r="AT108" s="24">
        <v>6.2421999999999995</v>
      </c>
      <c r="AU108" s="24">
        <v>5.1842000000000006</v>
      </c>
      <c r="AV108" s="24">
        <v>13.3308</v>
      </c>
      <c r="AW108" s="24">
        <v>14.406433333333332</v>
      </c>
      <c r="AX108" s="24">
        <v>14.685039999999997</v>
      </c>
      <c r="AY108" s="24">
        <v>12.476842857142858</v>
      </c>
      <c r="AZ108" s="24">
        <v>26.926099999999998</v>
      </c>
      <c r="BA108" s="24">
        <v>29.994299999999999</v>
      </c>
      <c r="BB108" s="24">
        <v>33.612659999999998</v>
      </c>
      <c r="BC108" s="24">
        <v>39.357599999999998</v>
      </c>
      <c r="BD108" s="24">
        <v>56.126899999999992</v>
      </c>
      <c r="BE108" s="24">
        <v>67.623833333333337</v>
      </c>
      <c r="BF108" s="24">
        <v>103.85328</v>
      </c>
      <c r="BG108" s="24">
        <v>153.30420000000001</v>
      </c>
      <c r="BH108" s="24"/>
      <c r="FC108" s="32">
        <v>153.30420000000001</v>
      </c>
      <c r="FD108" s="16"/>
    </row>
    <row r="109" spans="3:160" ht="16" x14ac:dyDescent="0.2">
      <c r="C109" s="7" t="s">
        <v>105</v>
      </c>
      <c r="D109" s="3">
        <v>105</v>
      </c>
      <c r="F109" s="3">
        <v>2.38</v>
      </c>
      <c r="K109" s="28">
        <v>103.976</v>
      </c>
      <c r="L109" s="28">
        <v>101.623</v>
      </c>
      <c r="M109" s="28">
        <v>99.070999999999984</v>
      </c>
      <c r="N109" s="28">
        <v>95.701999999999998</v>
      </c>
      <c r="O109" s="28">
        <v>91.034000000000006</v>
      </c>
      <c r="P109" s="28">
        <v>86.343000000000004</v>
      </c>
      <c r="Q109" s="28">
        <v>84.74</v>
      </c>
      <c r="R109" s="28">
        <v>78.213999999999999</v>
      </c>
      <c r="S109" s="28">
        <v>70.408999999999992</v>
      </c>
      <c r="T109" s="28">
        <v>63.559999999999995</v>
      </c>
      <c r="U109" s="28">
        <v>68.619</v>
      </c>
      <c r="V109" s="28">
        <v>60.785333333333334</v>
      </c>
      <c r="W109" s="28">
        <v>50.305599999999998</v>
      </c>
      <c r="X109" s="28">
        <v>35.132428571428576</v>
      </c>
      <c r="Y109" s="28">
        <v>47</v>
      </c>
      <c r="Z109" s="28">
        <v>37.550666666666665</v>
      </c>
      <c r="AA109" s="28">
        <v>20.945399999999999</v>
      </c>
      <c r="AB109" s="28">
        <v>22.030999999999999</v>
      </c>
      <c r="AC109" s="28"/>
      <c r="AD109" s="23"/>
      <c r="AE109" s="23"/>
      <c r="AF109" s="23"/>
      <c r="AG109" s="23"/>
      <c r="AH109" s="23"/>
      <c r="AI109" s="23"/>
      <c r="AP109" s="24">
        <v>0.31740000000000002</v>
      </c>
      <c r="AQ109" s="24">
        <v>2.0630999999999999</v>
      </c>
      <c r="AR109" s="24">
        <v>1.7809666666666666</v>
      </c>
      <c r="AS109" s="24">
        <v>5.9248000000000003</v>
      </c>
      <c r="AT109" s="24">
        <v>6.1892999999999994</v>
      </c>
      <c r="AU109" s="24">
        <v>5.1313000000000004</v>
      </c>
      <c r="AV109" s="24">
        <v>13.119199999999999</v>
      </c>
      <c r="AW109" s="24">
        <v>14.194833333333333</v>
      </c>
      <c r="AX109" s="24">
        <v>14.4946</v>
      </c>
      <c r="AY109" s="24">
        <v>12.287914285714285</v>
      </c>
      <c r="AZ109" s="24">
        <v>26.5029</v>
      </c>
      <c r="BA109" s="24">
        <v>29.535833333333329</v>
      </c>
      <c r="BB109" s="24">
        <v>33.051920000000003</v>
      </c>
      <c r="BC109" s="24">
        <v>38.329828571428564</v>
      </c>
      <c r="BD109" s="24">
        <v>54.751499999999993</v>
      </c>
      <c r="BE109" s="24">
        <v>65.948666666666668</v>
      </c>
      <c r="BF109" s="24">
        <v>97.304259999999985</v>
      </c>
      <c r="BG109" s="24">
        <v>145.9511</v>
      </c>
      <c r="BH109" s="24"/>
      <c r="FC109" s="32">
        <v>145.9511</v>
      </c>
      <c r="FD109" s="16"/>
    </row>
    <row r="110" spans="3:160" ht="16" x14ac:dyDescent="0.2">
      <c r="C110" s="7" t="s">
        <v>106</v>
      </c>
      <c r="D110" s="3">
        <v>106</v>
      </c>
      <c r="F110" s="3">
        <v>2.5099999999999998</v>
      </c>
      <c r="K110" s="28">
        <v>104.941</v>
      </c>
      <c r="L110" s="28">
        <v>102.631</v>
      </c>
      <c r="M110" s="28">
        <v>100.06266666666666</v>
      </c>
      <c r="N110" s="28">
        <v>96.77</v>
      </c>
      <c r="O110" s="28">
        <v>92.042666666666676</v>
      </c>
      <c r="P110" s="28">
        <v>87.296399999999991</v>
      </c>
      <c r="Q110" s="28">
        <v>85.867999999999995</v>
      </c>
      <c r="R110" s="28">
        <v>79.239999999999995</v>
      </c>
      <c r="S110" s="28">
        <v>71.360799999999998</v>
      </c>
      <c r="T110" s="28">
        <v>64.537857142857135</v>
      </c>
      <c r="U110" s="28">
        <v>69.787999999999997</v>
      </c>
      <c r="V110" s="28">
        <v>61.829333333333331</v>
      </c>
      <c r="W110" s="28">
        <v>51.309799999999996</v>
      </c>
      <c r="X110" s="28">
        <v>36.529428571428575</v>
      </c>
      <c r="Y110" s="28">
        <v>48.231000000000002</v>
      </c>
      <c r="Z110" s="28">
        <v>38.660000000000004</v>
      </c>
      <c r="AA110" s="28">
        <v>22.620799999999999</v>
      </c>
      <c r="AB110" s="28">
        <v>23.018000000000001</v>
      </c>
      <c r="AC110" s="28"/>
      <c r="AD110" s="23"/>
      <c r="AE110" s="23"/>
      <c r="AF110" s="23"/>
      <c r="AG110" s="23"/>
      <c r="AH110" s="23"/>
      <c r="AI110" s="23"/>
      <c r="AP110" s="24">
        <v>0.31740000000000002</v>
      </c>
      <c r="AQ110" s="24">
        <v>2.0630999999999999</v>
      </c>
      <c r="AR110" s="24">
        <v>1.7633333333333332</v>
      </c>
      <c r="AS110" s="24">
        <v>5.819</v>
      </c>
      <c r="AT110" s="24">
        <v>6.0834999999999999</v>
      </c>
      <c r="AU110" s="24">
        <v>5.0784000000000002</v>
      </c>
      <c r="AV110" s="24">
        <v>12.907599999999999</v>
      </c>
      <c r="AW110" s="24">
        <v>14.018500000000001</v>
      </c>
      <c r="AX110" s="24">
        <v>14.31474</v>
      </c>
      <c r="AY110" s="24">
        <v>12.129214285714285</v>
      </c>
      <c r="AZ110" s="24">
        <v>26.026799999999998</v>
      </c>
      <c r="BA110" s="24">
        <v>29.05973333333333</v>
      </c>
      <c r="BB110" s="24">
        <v>32.470019999999998</v>
      </c>
      <c r="BC110" s="24">
        <v>37.3474</v>
      </c>
      <c r="BD110" s="24">
        <v>53.481899999999996</v>
      </c>
      <c r="BE110" s="24">
        <v>64.255866666666662</v>
      </c>
      <c r="BF110" s="24">
        <v>92.13064</v>
      </c>
      <c r="BG110" s="24">
        <v>139.86760000000001</v>
      </c>
      <c r="BH110" s="24"/>
      <c r="FC110" s="32">
        <v>139.86760000000001</v>
      </c>
      <c r="FD110" s="16"/>
    </row>
    <row r="111" spans="3:160" ht="16" x14ac:dyDescent="0.2">
      <c r="C111" s="7" t="s">
        <v>107</v>
      </c>
      <c r="D111" s="3">
        <v>107</v>
      </c>
      <c r="F111" s="3">
        <v>2.48</v>
      </c>
      <c r="K111" s="28">
        <v>105.914</v>
      </c>
      <c r="L111" s="28">
        <v>103.64400000000001</v>
      </c>
      <c r="M111" s="28">
        <v>101.05500000000001</v>
      </c>
      <c r="N111" s="28">
        <v>97.843999999999994</v>
      </c>
      <c r="O111" s="28">
        <v>93.052666666666667</v>
      </c>
      <c r="P111" s="28">
        <v>88.248799999999989</v>
      </c>
      <c r="Q111" s="28">
        <v>87.004999999999995</v>
      </c>
      <c r="R111" s="28">
        <v>80.268666666666661</v>
      </c>
      <c r="S111" s="28">
        <v>72.312200000000004</v>
      </c>
      <c r="T111" s="28">
        <v>65.513142857142853</v>
      </c>
      <c r="U111" s="28">
        <v>70.968000000000004</v>
      </c>
      <c r="V111" s="28">
        <v>62.879333333333328</v>
      </c>
      <c r="W111" s="28">
        <v>52.312599999999996</v>
      </c>
      <c r="X111" s="28">
        <v>37.89028571428571</v>
      </c>
      <c r="Y111" s="28">
        <v>49.496000000000002</v>
      </c>
      <c r="Z111" s="28">
        <v>39.801666666666669</v>
      </c>
      <c r="AA111" s="28">
        <v>23.891199999999998</v>
      </c>
      <c r="AB111" s="28">
        <v>24.111000000000001</v>
      </c>
      <c r="AC111" s="28"/>
      <c r="AD111" s="23"/>
      <c r="AE111" s="23"/>
      <c r="AF111" s="23"/>
      <c r="AG111" s="23"/>
      <c r="AH111" s="23"/>
      <c r="AI111" s="23"/>
      <c r="AP111" s="24">
        <v>0.31740000000000002</v>
      </c>
      <c r="AQ111" s="24">
        <v>2.0101999999999998</v>
      </c>
      <c r="AR111" s="24">
        <v>1.7633333333333332</v>
      </c>
      <c r="AS111" s="24">
        <v>5.7131999999999996</v>
      </c>
      <c r="AT111" s="24">
        <v>6.0129666666666663</v>
      </c>
      <c r="AU111" s="24">
        <v>5.0255000000000001</v>
      </c>
      <c r="AV111" s="24">
        <v>12.696</v>
      </c>
      <c r="AW111" s="24">
        <v>13.806900000000001</v>
      </c>
      <c r="AX111" s="24">
        <v>14.1243</v>
      </c>
      <c r="AY111" s="24">
        <v>11.947842857142858</v>
      </c>
      <c r="AZ111" s="24">
        <v>25.550699999999999</v>
      </c>
      <c r="BA111" s="24">
        <v>28.583633333333335</v>
      </c>
      <c r="BB111" s="24">
        <v>31.941020000000002</v>
      </c>
      <c r="BC111" s="24">
        <v>36.448100000000004</v>
      </c>
      <c r="BD111" s="24">
        <v>52.2652</v>
      </c>
      <c r="BE111" s="24">
        <v>62.668866666666666</v>
      </c>
      <c r="BF111" s="24">
        <v>88.29010000000001</v>
      </c>
      <c r="BG111" s="24">
        <v>133.14929999999998</v>
      </c>
      <c r="BH111" s="24"/>
      <c r="FC111" s="32">
        <v>133.14929999999998</v>
      </c>
      <c r="FD111" s="16"/>
    </row>
    <row r="112" spans="3:160" ht="16" x14ac:dyDescent="0.2">
      <c r="C112" s="7" t="s">
        <v>108</v>
      </c>
      <c r="D112" s="3">
        <v>108</v>
      </c>
      <c r="F112" s="3">
        <v>2.5099999999999998</v>
      </c>
      <c r="K112" s="28">
        <v>106.884</v>
      </c>
      <c r="L112" s="28">
        <v>104.65600000000001</v>
      </c>
      <c r="M112" s="28">
        <v>102.04700000000001</v>
      </c>
      <c r="N112" s="28">
        <v>98.92</v>
      </c>
      <c r="O112" s="28">
        <v>94.064000000000007</v>
      </c>
      <c r="P112" s="28">
        <v>89.201600000000013</v>
      </c>
      <c r="Q112" s="28">
        <v>88.147000000000006</v>
      </c>
      <c r="R112" s="28">
        <v>81.299666666666667</v>
      </c>
      <c r="S112" s="28">
        <v>73.263000000000005</v>
      </c>
      <c r="T112" s="28">
        <v>66.485571428571433</v>
      </c>
      <c r="U112" s="28">
        <v>72.158000000000001</v>
      </c>
      <c r="V112" s="28">
        <v>63.935333333333325</v>
      </c>
      <c r="W112" s="28">
        <v>53.312599999999996</v>
      </c>
      <c r="X112" s="28">
        <v>39.188571428571436</v>
      </c>
      <c r="Y112" s="28">
        <v>50.744999999999997</v>
      </c>
      <c r="Z112" s="28">
        <v>40.905666666666669</v>
      </c>
      <c r="AA112" s="28">
        <v>24.867199999999997</v>
      </c>
      <c r="AB112" s="28">
        <v>25.151</v>
      </c>
      <c r="AC112" s="28"/>
      <c r="AD112" s="23"/>
      <c r="AE112" s="23"/>
      <c r="AF112" s="23"/>
      <c r="AG112" s="23"/>
      <c r="AH112" s="23"/>
      <c r="AI112" s="23"/>
      <c r="AP112" s="24">
        <v>0.31740000000000002</v>
      </c>
      <c r="AQ112" s="24">
        <v>1.9572999999999998</v>
      </c>
      <c r="AR112" s="24">
        <v>1.7104333333333333</v>
      </c>
      <c r="AS112" s="24">
        <v>5.6073999999999993</v>
      </c>
      <c r="AT112" s="24">
        <v>5.9247999999999985</v>
      </c>
      <c r="AU112" s="24">
        <v>4.9725999999999999</v>
      </c>
      <c r="AV112" s="24">
        <v>12.484399999999999</v>
      </c>
      <c r="AW112" s="24">
        <v>13.630566666666667</v>
      </c>
      <c r="AX112" s="24">
        <v>13.94444</v>
      </c>
      <c r="AY112" s="24">
        <v>11.789142857142858</v>
      </c>
      <c r="AZ112" s="24">
        <v>25.127499999999998</v>
      </c>
      <c r="BA112" s="24">
        <v>28.0899</v>
      </c>
      <c r="BB112" s="24">
        <v>31.412019999999995</v>
      </c>
      <c r="BC112" s="24">
        <v>35.571471428571435</v>
      </c>
      <c r="BD112" s="24">
        <v>51.048499999999997</v>
      </c>
      <c r="BE112" s="24">
        <v>61.134766666666671</v>
      </c>
      <c r="BF112" s="24">
        <v>84.64</v>
      </c>
      <c r="BG112" s="24">
        <v>128.12380000000002</v>
      </c>
      <c r="BH112" s="24"/>
      <c r="FC112" s="32">
        <v>128.12380000000002</v>
      </c>
      <c r="FD112" s="16"/>
    </row>
    <row r="113" spans="3:160" ht="16" x14ac:dyDescent="0.2">
      <c r="C113" s="7" t="s">
        <v>109</v>
      </c>
      <c r="D113" s="3">
        <v>109</v>
      </c>
      <c r="F113" s="3">
        <v>2.66</v>
      </c>
      <c r="K113" s="28">
        <v>107.851</v>
      </c>
      <c r="L113" s="28">
        <v>105.666</v>
      </c>
      <c r="M113" s="28">
        <v>103.03833333333334</v>
      </c>
      <c r="N113" s="28">
        <v>99.997</v>
      </c>
      <c r="O113" s="28">
        <v>95.076000000000008</v>
      </c>
      <c r="P113" s="28">
        <v>90.153399999999991</v>
      </c>
      <c r="Q113" s="28">
        <v>89.293000000000006</v>
      </c>
      <c r="R113" s="28">
        <v>82.333333333333329</v>
      </c>
      <c r="S113" s="28">
        <v>74.214399999999998</v>
      </c>
      <c r="T113" s="28">
        <v>67.456428571428575</v>
      </c>
      <c r="U113" s="28">
        <v>73.355000000000004</v>
      </c>
      <c r="V113" s="28">
        <v>64.99666666666667</v>
      </c>
      <c r="W113" s="28">
        <v>54.316200000000002</v>
      </c>
      <c r="X113" s="28">
        <v>40.450857142857146</v>
      </c>
      <c r="Y113" s="28">
        <v>52.000999999999998</v>
      </c>
      <c r="Z113" s="28">
        <v>42.007333333333335</v>
      </c>
      <c r="AA113" s="28">
        <v>25.979000000000003</v>
      </c>
      <c r="AB113" s="28">
        <v>26.173999999999999</v>
      </c>
      <c r="AC113" s="28"/>
      <c r="AD113" s="23"/>
      <c r="AE113" s="23"/>
      <c r="AF113" s="23"/>
      <c r="AG113" s="23"/>
      <c r="AH113" s="23"/>
      <c r="AI113" s="23"/>
      <c r="AP113" s="24">
        <v>0.31740000000000002</v>
      </c>
      <c r="AQ113" s="24">
        <v>1.9572999999999998</v>
      </c>
      <c r="AR113" s="24">
        <v>1.6928000000000001</v>
      </c>
      <c r="AS113" s="24">
        <v>5.5545</v>
      </c>
      <c r="AT113" s="24">
        <v>5.854266666666665</v>
      </c>
      <c r="AU113" s="24">
        <v>4.9197000000000006</v>
      </c>
      <c r="AV113" s="24">
        <v>12.2728</v>
      </c>
      <c r="AW113" s="24">
        <v>13.454233333333333</v>
      </c>
      <c r="AX113" s="24">
        <v>13.754</v>
      </c>
      <c r="AY113" s="24">
        <v>11.630442857142857</v>
      </c>
      <c r="AZ113" s="24">
        <v>24.7043</v>
      </c>
      <c r="BA113" s="24">
        <v>27.701966666666667</v>
      </c>
      <c r="BB113" s="24">
        <v>30.904179999999997</v>
      </c>
      <c r="BC113" s="24">
        <v>34.777971428571433</v>
      </c>
      <c r="BD113" s="24">
        <v>49.937599999999996</v>
      </c>
      <c r="BE113" s="24">
        <v>59.776999999999994</v>
      </c>
      <c r="BF113" s="24">
        <v>81.444839999999999</v>
      </c>
      <c r="BG113" s="24">
        <v>123.15119999999999</v>
      </c>
      <c r="BH113" s="24"/>
      <c r="FC113" s="32">
        <v>123.15119999999999</v>
      </c>
      <c r="FD113" s="16"/>
    </row>
    <row r="114" spans="3:160" ht="16" x14ac:dyDescent="0.2">
      <c r="C114" s="7" t="s">
        <v>110</v>
      </c>
      <c r="D114" s="3">
        <v>110</v>
      </c>
      <c r="F114" s="3">
        <v>2.73</v>
      </c>
      <c r="K114" s="28">
        <v>108.815</v>
      </c>
      <c r="L114" s="28">
        <v>106.67400000000001</v>
      </c>
      <c r="M114" s="28">
        <v>104.02966666666667</v>
      </c>
      <c r="N114" s="28">
        <v>101.074</v>
      </c>
      <c r="O114" s="28">
        <v>96.088000000000008</v>
      </c>
      <c r="P114" s="28">
        <v>91.104799999999997</v>
      </c>
      <c r="Q114" s="28">
        <v>90.441999999999993</v>
      </c>
      <c r="R114" s="28">
        <v>83.369</v>
      </c>
      <c r="S114" s="28">
        <v>75.165999999999997</v>
      </c>
      <c r="T114" s="28">
        <v>68.425142857142859</v>
      </c>
      <c r="U114" s="28">
        <v>74.555000000000007</v>
      </c>
      <c r="V114" s="28">
        <v>66.068666666666658</v>
      </c>
      <c r="W114" s="28">
        <v>55.324199999999998</v>
      </c>
      <c r="X114" s="28">
        <v>41.650571428571425</v>
      </c>
      <c r="Y114" s="28">
        <v>53.158999999999999</v>
      </c>
      <c r="Z114" s="28">
        <v>43.032999999999994</v>
      </c>
      <c r="AA114" s="28">
        <v>26.480400000000003</v>
      </c>
      <c r="AB114" s="28">
        <v>27.143000000000001</v>
      </c>
      <c r="AC114" s="28"/>
      <c r="AD114" s="23"/>
      <c r="AE114" s="23"/>
      <c r="AF114" s="23"/>
      <c r="AG114" s="23"/>
      <c r="AH114" s="23"/>
      <c r="AI114" s="23"/>
      <c r="AP114" s="24">
        <v>0.31740000000000002</v>
      </c>
      <c r="AQ114" s="24">
        <v>1.9043999999999999</v>
      </c>
      <c r="AR114" s="24">
        <v>1.6575333333333331</v>
      </c>
      <c r="AS114" s="24">
        <v>5.4486999999999997</v>
      </c>
      <c r="AT114" s="24">
        <v>5.7837333333333332</v>
      </c>
      <c r="AU114" s="24">
        <v>4.8456400000000004</v>
      </c>
      <c r="AV114" s="24">
        <v>12.114100000000001</v>
      </c>
      <c r="AW114" s="24">
        <v>13.260266666666666</v>
      </c>
      <c r="AX114" s="24">
        <v>13.57414</v>
      </c>
      <c r="AY114" s="24">
        <v>11.471742857142857</v>
      </c>
      <c r="AZ114" s="24">
        <v>24.281100000000002</v>
      </c>
      <c r="BA114" s="24">
        <v>27.261133333333333</v>
      </c>
      <c r="BB114" s="24">
        <v>30.37518</v>
      </c>
      <c r="BC114" s="24">
        <v>34.007142857142853</v>
      </c>
      <c r="BD114" s="24">
        <v>48.879600000000003</v>
      </c>
      <c r="BE114" s="24">
        <v>58.419233333333331</v>
      </c>
      <c r="BF114" s="24">
        <v>79.011439999999993</v>
      </c>
      <c r="BG114" s="24">
        <v>119.4482</v>
      </c>
      <c r="BH114" s="24"/>
      <c r="FC114" s="32">
        <v>119.4482</v>
      </c>
      <c r="FD114" s="16"/>
    </row>
    <row r="115" spans="3:160" ht="16" x14ac:dyDescent="0.2">
      <c r="C115" s="7" t="s">
        <v>111</v>
      </c>
      <c r="D115" s="3">
        <v>111</v>
      </c>
      <c r="F115" s="3">
        <v>2.83</v>
      </c>
      <c r="K115" s="28">
        <v>109.77500000000001</v>
      </c>
      <c r="L115" s="28">
        <v>107.68</v>
      </c>
      <c r="M115" s="28">
        <v>105.02033333333333</v>
      </c>
      <c r="N115" s="28">
        <v>102.151</v>
      </c>
      <c r="O115" s="28">
        <v>97.101333333333329</v>
      </c>
      <c r="P115" s="28">
        <v>92.055999999999997</v>
      </c>
      <c r="Q115" s="28">
        <v>91.594999999999999</v>
      </c>
      <c r="R115" s="28">
        <v>84.406666666666666</v>
      </c>
      <c r="S115" s="28">
        <v>76.117400000000004</v>
      </c>
      <c r="T115" s="28">
        <v>69.391428571428577</v>
      </c>
      <c r="U115" s="28">
        <v>75.766999999999996</v>
      </c>
      <c r="V115" s="28">
        <v>67.138666666666666</v>
      </c>
      <c r="W115" s="28">
        <v>56.340400000000002</v>
      </c>
      <c r="X115" s="28">
        <v>42.854428571428571</v>
      </c>
      <c r="Y115" s="28">
        <v>54.386000000000003</v>
      </c>
      <c r="Z115" s="28">
        <v>44.124333333333333</v>
      </c>
      <c r="AA115" s="28">
        <v>27.714400000000001</v>
      </c>
      <c r="AB115" s="28">
        <v>27.87</v>
      </c>
      <c r="AC115" s="28"/>
      <c r="AD115" s="23"/>
      <c r="AE115" s="23"/>
      <c r="AF115" s="23"/>
      <c r="AG115" s="23"/>
      <c r="AH115" s="23"/>
      <c r="AI115" s="23"/>
      <c r="AP115" s="24">
        <v>0.26450000000000001</v>
      </c>
      <c r="AQ115" s="24">
        <v>1.8515000000000001</v>
      </c>
      <c r="AR115" s="24">
        <v>1.6398999999999999</v>
      </c>
      <c r="AS115" s="24">
        <v>5.3957999999999995</v>
      </c>
      <c r="AT115" s="24">
        <v>5.730833333333333</v>
      </c>
      <c r="AU115" s="24">
        <v>4.7927400000000002</v>
      </c>
      <c r="AV115" s="24">
        <v>11.9025</v>
      </c>
      <c r="AW115" s="24">
        <v>13.083933333333333</v>
      </c>
      <c r="AX115" s="24">
        <v>13.41544</v>
      </c>
      <c r="AY115" s="24">
        <v>11.313042857142857</v>
      </c>
      <c r="AZ115" s="24">
        <v>23.857900000000001</v>
      </c>
      <c r="BA115" s="24">
        <v>26.837933333333336</v>
      </c>
      <c r="BB115" s="24">
        <v>29.930819999999994</v>
      </c>
      <c r="BC115" s="24">
        <v>33.296771428571432</v>
      </c>
      <c r="BD115" s="24">
        <v>47.821599999999997</v>
      </c>
      <c r="BE115" s="24">
        <v>57.184899999999999</v>
      </c>
      <c r="BF115" s="24">
        <v>76.525139999999993</v>
      </c>
      <c r="BG115" s="24">
        <v>116.38000000000001</v>
      </c>
      <c r="BH115" s="24"/>
      <c r="FC115" s="32">
        <v>116.38000000000001</v>
      </c>
      <c r="FD115" s="16"/>
    </row>
    <row r="116" spans="3:160" ht="16" x14ac:dyDescent="0.2">
      <c r="C116" s="7" t="s">
        <v>112</v>
      </c>
      <c r="D116" s="3">
        <v>112</v>
      </c>
      <c r="F116" s="3">
        <v>3.03</v>
      </c>
      <c r="K116" s="28">
        <v>110.73099999999999</v>
      </c>
      <c r="L116" s="28">
        <v>108.684</v>
      </c>
      <c r="M116" s="28">
        <v>106.00999999999999</v>
      </c>
      <c r="N116" s="28">
        <v>103.23</v>
      </c>
      <c r="O116" s="28">
        <v>98.115666666666655</v>
      </c>
      <c r="P116" s="28">
        <v>93.006200000000007</v>
      </c>
      <c r="Q116" s="28">
        <v>92.754000000000005</v>
      </c>
      <c r="R116" s="28">
        <v>85.446666666666673</v>
      </c>
      <c r="S116" s="28">
        <v>77.0672</v>
      </c>
      <c r="T116" s="28">
        <v>70.356142857142871</v>
      </c>
      <c r="U116" s="28">
        <v>76.992000000000004</v>
      </c>
      <c r="V116" s="28">
        <v>68.207333333333324</v>
      </c>
      <c r="W116" s="28">
        <v>57.337400000000002</v>
      </c>
      <c r="X116" s="28">
        <v>44.066428571428574</v>
      </c>
      <c r="Y116" s="28">
        <v>55.793999999999997</v>
      </c>
      <c r="Z116" s="28">
        <v>45.286999999999999</v>
      </c>
      <c r="AA116" s="28">
        <v>29.372800000000002</v>
      </c>
      <c r="AB116" s="28">
        <v>29.225000000000001</v>
      </c>
      <c r="AC116" s="28"/>
      <c r="AD116" s="23"/>
      <c r="AE116" s="23"/>
      <c r="AF116" s="23"/>
      <c r="AG116" s="23"/>
      <c r="AH116" s="23"/>
      <c r="AI116" s="23"/>
      <c r="AP116" s="24">
        <v>0.26450000000000001</v>
      </c>
      <c r="AQ116" s="24">
        <v>1.8515000000000001</v>
      </c>
      <c r="AR116" s="24">
        <v>1.6398999999999999</v>
      </c>
      <c r="AS116" s="24">
        <v>5.29</v>
      </c>
      <c r="AT116" s="24">
        <v>5.6250333333333336</v>
      </c>
      <c r="AU116" s="24">
        <v>4.7398400000000001</v>
      </c>
      <c r="AV116" s="24">
        <v>11.7438</v>
      </c>
      <c r="AW116" s="24">
        <v>12.9076</v>
      </c>
      <c r="AX116" s="24">
        <v>13.256740000000002</v>
      </c>
      <c r="AY116" s="24">
        <v>11.177014285714288</v>
      </c>
      <c r="AZ116" s="24">
        <v>23.434699999999999</v>
      </c>
      <c r="BA116" s="24">
        <v>26.45</v>
      </c>
      <c r="BB116" s="24">
        <v>29.422979999999995</v>
      </c>
      <c r="BC116" s="24">
        <v>32.578842857142853</v>
      </c>
      <c r="BD116" s="24">
        <v>46.763599999999997</v>
      </c>
      <c r="BE116" s="24">
        <v>55.897666666666673</v>
      </c>
      <c r="BF116" s="24">
        <v>73.74260000000001</v>
      </c>
      <c r="BG116" s="24">
        <v>111.30160000000001</v>
      </c>
      <c r="BH116" s="24"/>
      <c r="FC116" s="32">
        <v>111.30160000000001</v>
      </c>
      <c r="FD116" s="16"/>
    </row>
    <row r="117" spans="3:160" ht="16" x14ac:dyDescent="0.2">
      <c r="C117" s="7" t="s">
        <v>113</v>
      </c>
      <c r="D117" s="3">
        <v>113</v>
      </c>
      <c r="F117" s="3">
        <v>2.4900000000000002</v>
      </c>
      <c r="K117" s="28">
        <v>111.684</v>
      </c>
      <c r="L117" s="28">
        <v>109.684</v>
      </c>
      <c r="M117" s="28">
        <v>107</v>
      </c>
      <c r="N117" s="28">
        <v>104.30800000000001</v>
      </c>
      <c r="O117" s="28">
        <v>99.13066666666667</v>
      </c>
      <c r="P117" s="28">
        <v>93.956400000000002</v>
      </c>
      <c r="Q117" s="28">
        <v>93.917000000000002</v>
      </c>
      <c r="R117" s="28">
        <v>86.48899999999999</v>
      </c>
      <c r="S117" s="28">
        <v>78.017399999999995</v>
      </c>
      <c r="T117" s="28">
        <v>71.319428571428574</v>
      </c>
      <c r="U117" s="28">
        <v>78.22</v>
      </c>
      <c r="V117" s="28">
        <v>69.283333333333346</v>
      </c>
      <c r="W117" s="28">
        <v>58.334000000000003</v>
      </c>
      <c r="X117" s="28">
        <v>45.25714285714286</v>
      </c>
      <c r="Y117" s="28">
        <v>57.152000000000001</v>
      </c>
      <c r="Z117" s="28">
        <v>46.56</v>
      </c>
      <c r="AA117" s="28">
        <v>31.114600000000003</v>
      </c>
      <c r="AB117" s="28">
        <v>31.027999999999999</v>
      </c>
      <c r="AC117" s="28">
        <v>23.835000000000001</v>
      </c>
      <c r="AD117" s="23"/>
      <c r="AE117" s="23"/>
      <c r="AF117" s="23"/>
      <c r="AG117" s="23"/>
      <c r="AH117" s="23"/>
      <c r="AI117" s="23"/>
      <c r="AP117" s="24">
        <v>0.26450000000000001</v>
      </c>
      <c r="AQ117" s="24">
        <v>1.7986</v>
      </c>
      <c r="AR117" s="24">
        <v>1.587</v>
      </c>
      <c r="AS117" s="24">
        <v>5.1841999999999997</v>
      </c>
      <c r="AT117" s="24">
        <v>5.5721333333333334</v>
      </c>
      <c r="AU117" s="24">
        <v>4.6869400000000008</v>
      </c>
      <c r="AV117" s="24">
        <v>11.5322</v>
      </c>
      <c r="AW117" s="24">
        <v>12.748899999999999</v>
      </c>
      <c r="AX117" s="24">
        <v>13.098040000000001</v>
      </c>
      <c r="AY117" s="24">
        <v>11.018314285714284</v>
      </c>
      <c r="AZ117" s="24">
        <v>23.064399999999999</v>
      </c>
      <c r="BA117" s="24">
        <v>26.026799999999998</v>
      </c>
      <c r="BB117" s="24">
        <v>28.999780000000005</v>
      </c>
      <c r="BC117" s="24">
        <v>31.92137142857143</v>
      </c>
      <c r="BD117" s="24">
        <v>45.652699999999996</v>
      </c>
      <c r="BE117" s="24">
        <v>54.628066666666676</v>
      </c>
      <c r="BF117" s="24">
        <v>71.150499999999994</v>
      </c>
      <c r="BG117" s="24">
        <v>106.22319999999999</v>
      </c>
      <c r="BH117" s="24">
        <v>128.2825</v>
      </c>
      <c r="FC117" s="32">
        <v>128.2825</v>
      </c>
      <c r="FD117" s="16"/>
    </row>
    <row r="118" spans="3:160" ht="16" x14ac:dyDescent="0.2">
      <c r="C118" s="7" t="s">
        <v>114</v>
      </c>
      <c r="D118" s="3">
        <v>114</v>
      </c>
      <c r="F118" s="3">
        <v>2.57</v>
      </c>
      <c r="K118" s="28">
        <v>112.631</v>
      </c>
      <c r="L118" s="28">
        <v>110.682</v>
      </c>
      <c r="M118" s="28">
        <v>107.98899999999999</v>
      </c>
      <c r="N118" s="28">
        <v>105.386</v>
      </c>
      <c r="O118" s="28">
        <v>100.14700000000001</v>
      </c>
      <c r="P118" s="28">
        <v>94.905999999999992</v>
      </c>
      <c r="Q118" s="28">
        <v>95.082999999999998</v>
      </c>
      <c r="R118" s="28">
        <v>87.534666666666666</v>
      </c>
      <c r="S118" s="28">
        <v>78.9666</v>
      </c>
      <c r="T118" s="28">
        <v>72.280714285714282</v>
      </c>
      <c r="U118" s="28">
        <v>79.456999999999994</v>
      </c>
      <c r="V118" s="28">
        <v>70.364666666666665</v>
      </c>
      <c r="W118" s="28">
        <v>59.330200000000005</v>
      </c>
      <c r="X118" s="28">
        <v>46.43185714285714</v>
      </c>
      <c r="Y118" s="28">
        <v>58.524999999999999</v>
      </c>
      <c r="Z118" s="28">
        <v>47.835666666666668</v>
      </c>
      <c r="AA118" s="28">
        <v>32.685199999999995</v>
      </c>
      <c r="AB118" s="28">
        <v>32.734000000000002</v>
      </c>
      <c r="AC118" s="28">
        <v>24.554333333333336</v>
      </c>
      <c r="AD118" s="23"/>
      <c r="AE118" s="23"/>
      <c r="AF118" s="23"/>
      <c r="AG118" s="23"/>
      <c r="AH118" s="23"/>
      <c r="AI118" s="23"/>
      <c r="AP118" s="24">
        <v>0.26450000000000001</v>
      </c>
      <c r="AQ118" s="24">
        <v>1.7457</v>
      </c>
      <c r="AR118" s="24">
        <v>1.587</v>
      </c>
      <c r="AS118" s="24">
        <v>5.1313000000000004</v>
      </c>
      <c r="AT118" s="24">
        <v>5.5015999999999998</v>
      </c>
      <c r="AU118" s="24">
        <v>4.6340400000000006</v>
      </c>
      <c r="AV118" s="24">
        <v>11.3735</v>
      </c>
      <c r="AW118" s="24">
        <v>12.572566666666667</v>
      </c>
      <c r="AX118" s="24">
        <v>12.939339999999998</v>
      </c>
      <c r="AY118" s="24">
        <v>10.889842857142856</v>
      </c>
      <c r="AZ118" s="24">
        <v>22.641199999999998</v>
      </c>
      <c r="BA118" s="24">
        <v>25.638866666666669</v>
      </c>
      <c r="BB118" s="24">
        <v>28.576580000000007</v>
      </c>
      <c r="BC118" s="24">
        <v>31.279014285714279</v>
      </c>
      <c r="BD118" s="24">
        <v>44.753399999999999</v>
      </c>
      <c r="BE118" s="24">
        <v>53.411366666666659</v>
      </c>
      <c r="BF118" s="24">
        <v>68.854639999999989</v>
      </c>
      <c r="BG118" s="24">
        <v>101.6738</v>
      </c>
      <c r="BH118" s="24">
        <v>135.19476666666665</v>
      </c>
      <c r="FC118" s="32">
        <v>135.19476666666665</v>
      </c>
      <c r="FD118" s="16"/>
    </row>
    <row r="119" spans="3:160" ht="16" x14ac:dyDescent="0.2">
      <c r="C119" s="7" t="s">
        <v>115</v>
      </c>
      <c r="D119" s="3">
        <v>115</v>
      </c>
      <c r="F119" s="3">
        <v>2.21</v>
      </c>
      <c r="K119" s="28">
        <v>113.574</v>
      </c>
      <c r="L119" s="28">
        <v>111.676</v>
      </c>
      <c r="M119" s="28">
        <v>108.97699999999999</v>
      </c>
      <c r="N119" s="28">
        <v>106.464</v>
      </c>
      <c r="O119" s="28">
        <v>101.16333333333334</v>
      </c>
      <c r="P119" s="28">
        <v>95.854600000000005</v>
      </c>
      <c r="Q119" s="28">
        <v>96.253</v>
      </c>
      <c r="R119" s="28">
        <v>88.582333333333324</v>
      </c>
      <c r="S119" s="28">
        <v>79.916200000000003</v>
      </c>
      <c r="T119" s="28">
        <v>73.240428571428566</v>
      </c>
      <c r="U119" s="28">
        <v>80.701999999999998</v>
      </c>
      <c r="V119" s="28">
        <v>71.450666666666663</v>
      </c>
      <c r="W119" s="28">
        <v>60.326800000000006</v>
      </c>
      <c r="X119" s="28">
        <v>47.58757142857143</v>
      </c>
      <c r="Y119" s="28">
        <v>59.901000000000003</v>
      </c>
      <c r="Z119" s="28">
        <v>49.131</v>
      </c>
      <c r="AA119" s="28">
        <v>34.354399999999998</v>
      </c>
      <c r="AB119" s="28">
        <v>34.631</v>
      </c>
      <c r="AC119" s="28">
        <v>22.031333333333333</v>
      </c>
      <c r="AD119" s="23"/>
      <c r="AE119" s="23"/>
      <c r="AF119" s="23"/>
      <c r="AG119" s="23"/>
      <c r="AH119" s="23"/>
      <c r="AI119" s="23"/>
      <c r="AP119" s="24">
        <v>0.26450000000000001</v>
      </c>
      <c r="AQ119" s="24">
        <v>1.7457</v>
      </c>
      <c r="AR119" s="24">
        <v>1.5693666666666668</v>
      </c>
      <c r="AS119" s="24">
        <v>5.0255000000000001</v>
      </c>
      <c r="AT119" s="24">
        <v>5.4310666666666663</v>
      </c>
      <c r="AU119" s="24">
        <v>4.5811400000000004</v>
      </c>
      <c r="AV119" s="24">
        <v>11.161899999999999</v>
      </c>
      <c r="AW119" s="24">
        <v>12.413866666666665</v>
      </c>
      <c r="AX119" s="24">
        <v>12.78064</v>
      </c>
      <c r="AY119" s="24">
        <v>10.753814285714286</v>
      </c>
      <c r="AZ119" s="24">
        <v>22.270899999999997</v>
      </c>
      <c r="BA119" s="24">
        <v>25.250933333333332</v>
      </c>
      <c r="BB119" s="24">
        <v>28.13222</v>
      </c>
      <c r="BC119" s="24">
        <v>30.697114285714282</v>
      </c>
      <c r="BD119" s="24">
        <v>43.748299999999993</v>
      </c>
      <c r="BE119" s="24">
        <v>52.229933333333328</v>
      </c>
      <c r="BF119" s="24">
        <v>66.569359999999989</v>
      </c>
      <c r="BG119" s="24">
        <v>97.0715</v>
      </c>
      <c r="BH119" s="24">
        <v>140.97849999999997</v>
      </c>
      <c r="FC119" s="32">
        <v>140.97849999999997</v>
      </c>
      <c r="FD119" s="16"/>
    </row>
    <row r="120" spans="3:160" ht="16" x14ac:dyDescent="0.2">
      <c r="C120" s="7" t="s">
        <v>116</v>
      </c>
      <c r="D120" s="3">
        <v>116</v>
      </c>
      <c r="F120" s="3">
        <v>2.42</v>
      </c>
      <c r="K120" s="28">
        <v>114.511</v>
      </c>
      <c r="L120" s="28">
        <v>112.666</v>
      </c>
      <c r="M120" s="28">
        <v>109.964</v>
      </c>
      <c r="N120" s="28">
        <v>107.541</v>
      </c>
      <c r="O120" s="28">
        <v>102.181</v>
      </c>
      <c r="P120" s="28">
        <v>96.802999999999997</v>
      </c>
      <c r="Q120" s="28">
        <v>97.427000000000007</v>
      </c>
      <c r="R120" s="28">
        <v>89.632666666666651</v>
      </c>
      <c r="S120" s="28">
        <v>80.865799999999993</v>
      </c>
      <c r="T120" s="28">
        <v>74.198142857142855</v>
      </c>
      <c r="U120" s="28">
        <v>81.954999999999998</v>
      </c>
      <c r="V120" s="28">
        <v>72.541333333333327</v>
      </c>
      <c r="W120" s="28">
        <v>61.322799999999994</v>
      </c>
      <c r="X120" s="28">
        <v>48.731285714285718</v>
      </c>
      <c r="Y120" s="28">
        <v>61.287999999999997</v>
      </c>
      <c r="Z120" s="28">
        <v>50.422333333333334</v>
      </c>
      <c r="AA120" s="28">
        <v>35.897000000000006</v>
      </c>
      <c r="AB120" s="28">
        <v>36.351999999999997</v>
      </c>
      <c r="AC120" s="28">
        <v>24.204666666666668</v>
      </c>
      <c r="AD120" s="23"/>
      <c r="AE120" s="23"/>
      <c r="AF120" s="23"/>
      <c r="AG120" s="23"/>
      <c r="AH120" s="23"/>
      <c r="AI120" s="23"/>
      <c r="AP120" s="24">
        <v>0.26450000000000001</v>
      </c>
      <c r="AQ120" s="24">
        <v>1.6928000000000001</v>
      </c>
      <c r="AR120" s="24">
        <v>1.5341</v>
      </c>
      <c r="AS120" s="24">
        <v>4.9725999999999999</v>
      </c>
      <c r="AT120" s="24">
        <v>5.3429000000000002</v>
      </c>
      <c r="AU120" s="24">
        <v>4.5494000000000003</v>
      </c>
      <c r="AV120" s="24">
        <v>11.0032</v>
      </c>
      <c r="AW120" s="24">
        <v>12.237533333333332</v>
      </c>
      <c r="AX120" s="24">
        <v>12.62194</v>
      </c>
      <c r="AY120" s="24">
        <v>10.625342857142858</v>
      </c>
      <c r="AZ120" s="24">
        <v>21.900599999999997</v>
      </c>
      <c r="BA120" s="24">
        <v>24.880633333333332</v>
      </c>
      <c r="BB120" s="24">
        <v>27.730180000000001</v>
      </c>
      <c r="BC120" s="24">
        <v>30.115214285714281</v>
      </c>
      <c r="BD120" s="24">
        <v>42.849000000000004</v>
      </c>
      <c r="BE120" s="24">
        <v>51.136666666666663</v>
      </c>
      <c r="BF120" s="24">
        <v>64.633219999999994</v>
      </c>
      <c r="BG120" s="24">
        <v>93.527199999999993</v>
      </c>
      <c r="BH120" s="24">
        <v>133.69593333333333</v>
      </c>
      <c r="FC120" s="32">
        <v>133.69593333333333</v>
      </c>
      <c r="FD120" s="16"/>
    </row>
    <row r="121" spans="3:160" ht="16" x14ac:dyDescent="0.2">
      <c r="C121" s="7" t="s">
        <v>117</v>
      </c>
      <c r="D121" s="3">
        <v>117</v>
      </c>
      <c r="F121" s="3">
        <v>2.61</v>
      </c>
      <c r="K121" s="28">
        <v>115.44199999999999</v>
      </c>
      <c r="L121" s="28">
        <v>113.651</v>
      </c>
      <c r="M121" s="28">
        <v>110.95066666666666</v>
      </c>
      <c r="N121" s="28">
        <v>108.617</v>
      </c>
      <c r="O121" s="28">
        <v>103.19833333333332</v>
      </c>
      <c r="P121" s="28">
        <v>97.750599999999991</v>
      </c>
      <c r="Q121" s="28">
        <v>98.605000000000004</v>
      </c>
      <c r="R121" s="28">
        <v>90.685999999999993</v>
      </c>
      <c r="S121" s="28">
        <v>81.815200000000004</v>
      </c>
      <c r="T121" s="28">
        <v>75.154857142857139</v>
      </c>
      <c r="U121" s="28">
        <v>83.215999999999994</v>
      </c>
      <c r="V121" s="28">
        <v>73.637</v>
      </c>
      <c r="W121" s="28">
        <v>62.318399999999997</v>
      </c>
      <c r="X121" s="28">
        <v>49.862428571428573</v>
      </c>
      <c r="Y121" s="28">
        <v>62.685000000000002</v>
      </c>
      <c r="Z121" s="28">
        <v>51.721333333333327</v>
      </c>
      <c r="AA121" s="28">
        <v>37.3566</v>
      </c>
      <c r="AB121" s="28">
        <v>37.987000000000002</v>
      </c>
      <c r="AC121" s="28">
        <v>26.039333333333332</v>
      </c>
      <c r="AD121" s="23"/>
      <c r="AE121" s="23"/>
      <c r="AF121" s="23"/>
      <c r="AG121" s="23"/>
      <c r="AH121" s="23"/>
      <c r="AI121" s="23"/>
      <c r="AP121" s="24">
        <v>0.26450000000000001</v>
      </c>
      <c r="AQ121" s="24">
        <v>1.6928000000000001</v>
      </c>
      <c r="AR121" s="24">
        <v>1.5164666666666669</v>
      </c>
      <c r="AS121" s="24">
        <v>4.8667999999999996</v>
      </c>
      <c r="AT121" s="24">
        <v>5.2723666666666658</v>
      </c>
      <c r="AU121" s="24">
        <v>4.4965000000000002</v>
      </c>
      <c r="AV121" s="24">
        <v>10.844499999999998</v>
      </c>
      <c r="AW121" s="24">
        <v>12.114100000000001</v>
      </c>
      <c r="AX121" s="24">
        <v>12.49498</v>
      </c>
      <c r="AY121" s="24">
        <v>10.466642857142856</v>
      </c>
      <c r="AZ121" s="24">
        <v>21.530299999999997</v>
      </c>
      <c r="BA121" s="24">
        <v>24.492699999999999</v>
      </c>
      <c r="BB121" s="24">
        <v>27.306980000000003</v>
      </c>
      <c r="BC121" s="24">
        <v>29.586214285714284</v>
      </c>
      <c r="BD121" s="24">
        <v>41.9497</v>
      </c>
      <c r="BE121" s="24">
        <v>50.025766666666662</v>
      </c>
      <c r="BF121" s="24">
        <v>62.739400000000003</v>
      </c>
      <c r="BG121" s="24">
        <v>89.982900000000001</v>
      </c>
      <c r="BH121" s="24">
        <v>123.36280000000001</v>
      </c>
      <c r="FC121" s="32">
        <v>123.36280000000001</v>
      </c>
      <c r="FD121" s="16"/>
    </row>
    <row r="122" spans="3:160" ht="16" x14ac:dyDescent="0.2">
      <c r="C122" s="7" t="s">
        <v>118</v>
      </c>
      <c r="D122" s="3">
        <v>118</v>
      </c>
      <c r="F122" s="3">
        <v>2.59</v>
      </c>
      <c r="K122" s="28">
        <v>116.367</v>
      </c>
      <c r="L122" s="28">
        <v>114.631</v>
      </c>
      <c r="M122" s="28">
        <v>111.93599999999999</v>
      </c>
      <c r="N122" s="28">
        <v>109.691</v>
      </c>
      <c r="O122" s="28">
        <v>104.217</v>
      </c>
      <c r="P122" s="28">
        <v>98.698000000000008</v>
      </c>
      <c r="Q122" s="28">
        <v>99.786000000000001</v>
      </c>
      <c r="R122" s="28">
        <v>91.741666666666674</v>
      </c>
      <c r="S122" s="28">
        <v>82.763599999999997</v>
      </c>
      <c r="T122" s="28">
        <v>76.108999999999995</v>
      </c>
      <c r="U122" s="28">
        <v>84.484999999999999</v>
      </c>
      <c r="V122" s="28">
        <v>74.737666666666669</v>
      </c>
      <c r="W122" s="28">
        <v>63.313200000000009</v>
      </c>
      <c r="X122" s="28">
        <v>50.982000000000006</v>
      </c>
      <c r="Y122" s="28">
        <v>64.091999999999999</v>
      </c>
      <c r="Z122" s="28">
        <v>53.035333333333334</v>
      </c>
      <c r="AA122" s="28">
        <v>38.747400000000006</v>
      </c>
      <c r="AB122" s="28">
        <v>39.546999999999997</v>
      </c>
      <c r="AC122" s="28">
        <v>27.770666666666667</v>
      </c>
      <c r="AD122" s="23"/>
      <c r="AE122" s="23"/>
      <c r="AF122" s="23"/>
      <c r="AG122" s="23"/>
      <c r="AH122" s="23"/>
      <c r="AI122" s="23"/>
      <c r="AP122" s="24">
        <v>0.26450000000000001</v>
      </c>
      <c r="AQ122" s="24">
        <v>1.6398999999999999</v>
      </c>
      <c r="AR122" s="24">
        <v>1.4988333333333335</v>
      </c>
      <c r="AS122" s="24">
        <v>4.8138999999999994</v>
      </c>
      <c r="AT122" s="24">
        <v>5.2194666666666665</v>
      </c>
      <c r="AU122" s="24">
        <v>4.475340000000001</v>
      </c>
      <c r="AV122" s="24">
        <v>10.6858</v>
      </c>
      <c r="AW122" s="24">
        <v>11.955399999999999</v>
      </c>
      <c r="AX122" s="24">
        <v>12.357439999999999</v>
      </c>
      <c r="AY122" s="24">
        <v>10.360842857142856</v>
      </c>
      <c r="AZ122" s="24">
        <v>21.16</v>
      </c>
      <c r="BA122" s="24">
        <v>24.157666666666668</v>
      </c>
      <c r="BB122" s="24">
        <v>26.936680000000003</v>
      </c>
      <c r="BC122" s="24">
        <v>29.057214285714284</v>
      </c>
      <c r="BD122" s="24">
        <v>41.103299999999997</v>
      </c>
      <c r="BE122" s="24">
        <v>49.020666666666671</v>
      </c>
      <c r="BF122" s="24">
        <v>61.173559999999995</v>
      </c>
      <c r="BG122" s="24">
        <v>87.126300000000001</v>
      </c>
      <c r="BH122" s="24">
        <v>118.7076</v>
      </c>
      <c r="BV122" s="3">
        <v>340806.55530000001</v>
      </c>
      <c r="BW122" s="3">
        <v>91416.548840000003</v>
      </c>
      <c r="BX122" s="3">
        <v>62267.369769999998</v>
      </c>
      <c r="BY122" s="3">
        <v>29460.527190000001</v>
      </c>
      <c r="BZ122" s="3">
        <v>21564.419976666668</v>
      </c>
      <c r="CA122" s="3">
        <v>16147.00013</v>
      </c>
      <c r="CB122" s="3">
        <v>10845.872289999999</v>
      </c>
      <c r="CC122" s="3">
        <v>8146.1977893333342</v>
      </c>
      <c r="CD122" s="3">
        <v>6152.2102396</v>
      </c>
      <c r="CE122" s="3">
        <v>5389.8464602857148</v>
      </c>
      <c r="CF122" s="3">
        <v>3977.4640330000002</v>
      </c>
      <c r="CG122" s="3">
        <v>2930.1964636666667</v>
      </c>
      <c r="CH122" s="3">
        <v>2067.8382193999996</v>
      </c>
      <c r="CI122" s="3">
        <v>1503.621308</v>
      </c>
      <c r="CJ122" s="3">
        <v>1271.501055</v>
      </c>
      <c r="CK122" s="3">
        <v>830.52818866666667</v>
      </c>
      <c r="CL122" s="3">
        <v>429.70956439999998</v>
      </c>
      <c r="CM122" s="3">
        <v>269.12815699999999</v>
      </c>
      <c r="CN122" s="3">
        <v>125.271584</v>
      </c>
      <c r="CU122" s="3">
        <f t="shared" ref="CU122" si="77">-2*BV122</f>
        <v>-681613.11060000001</v>
      </c>
      <c r="CV122" s="3">
        <f t="shared" si="48"/>
        <v>-182833.09768000001</v>
      </c>
      <c r="CW122" s="3">
        <f t="shared" si="49"/>
        <v>-124534.73954</v>
      </c>
      <c r="CX122" s="3">
        <f t="shared" si="50"/>
        <v>-58921.054380000001</v>
      </c>
      <c r="CY122" s="3">
        <f t="shared" si="51"/>
        <v>-43128.839953333336</v>
      </c>
      <c r="CZ122" s="3">
        <f t="shared" si="52"/>
        <v>-32294.000260000001</v>
      </c>
      <c r="DA122" s="3">
        <f t="shared" si="53"/>
        <v>-21691.744579999999</v>
      </c>
      <c r="DB122" s="3">
        <f t="shared" si="54"/>
        <v>-16292.395578666668</v>
      </c>
      <c r="DC122" s="3">
        <f t="shared" si="55"/>
        <v>-12304.4204792</v>
      </c>
      <c r="DD122" s="3">
        <f t="shared" si="56"/>
        <v>-10779.69292057143</v>
      </c>
      <c r="DE122" s="3">
        <f t="shared" si="57"/>
        <v>-7954.9280660000004</v>
      </c>
      <c r="DF122" s="3">
        <f t="shared" si="58"/>
        <v>-5860.3929273333333</v>
      </c>
      <c r="DG122" s="3">
        <f t="shared" si="63"/>
        <v>-4135.6764387999992</v>
      </c>
      <c r="DH122" s="3">
        <f t="shared" si="76"/>
        <v>-3007.242616</v>
      </c>
      <c r="DI122" s="3">
        <f t="shared" si="59"/>
        <v>-2543.0021099999999</v>
      </c>
      <c r="DJ122" s="3">
        <f t="shared" si="69"/>
        <v>-1661.0563773333333</v>
      </c>
      <c r="DK122" s="3">
        <f t="shared" si="75"/>
        <v>-859.41912879999995</v>
      </c>
      <c r="DL122" s="3">
        <f t="shared" si="73"/>
        <v>-538.25631399999997</v>
      </c>
      <c r="DM122" s="3">
        <f t="shared" ref="DM122" si="78">-2*CN122</f>
        <v>-250.54316800000001</v>
      </c>
      <c r="DT122" s="3">
        <f t="shared" ref="DT122:EL122" si="79">-1*BV122</f>
        <v>-340806.55530000001</v>
      </c>
      <c r="DU122" s="3">
        <f t="shared" si="79"/>
        <v>-91416.548840000003</v>
      </c>
      <c r="DV122" s="3">
        <f t="shared" si="79"/>
        <v>-62267.369769999998</v>
      </c>
      <c r="DW122" s="3">
        <f t="shared" si="79"/>
        <v>-29460.527190000001</v>
      </c>
      <c r="DX122" s="3">
        <f t="shared" si="79"/>
        <v>-21564.419976666668</v>
      </c>
      <c r="DY122" s="3">
        <f t="shared" si="79"/>
        <v>-16147.00013</v>
      </c>
      <c r="DZ122" s="3">
        <f t="shared" si="79"/>
        <v>-10845.872289999999</v>
      </c>
      <c r="EA122" s="3">
        <f t="shared" si="79"/>
        <v>-8146.1977893333342</v>
      </c>
      <c r="EB122" s="3">
        <f t="shared" si="79"/>
        <v>-6152.2102396</v>
      </c>
      <c r="EC122" s="3">
        <f t="shared" si="79"/>
        <v>-5389.8464602857148</v>
      </c>
      <c r="ED122" s="3">
        <f t="shared" si="79"/>
        <v>-3977.4640330000002</v>
      </c>
      <c r="EE122" s="3">
        <f t="shared" si="79"/>
        <v>-2930.1964636666667</v>
      </c>
      <c r="EF122" s="3">
        <f t="shared" si="79"/>
        <v>-2067.8382193999996</v>
      </c>
      <c r="EG122" s="3">
        <f t="shared" si="79"/>
        <v>-1503.621308</v>
      </c>
      <c r="EH122" s="3">
        <f t="shared" si="79"/>
        <v>-1271.501055</v>
      </c>
      <c r="EI122" s="3">
        <f t="shared" si="79"/>
        <v>-830.52818866666667</v>
      </c>
      <c r="EJ122" s="3">
        <f t="shared" si="79"/>
        <v>-429.70956439999998</v>
      </c>
      <c r="EK122" s="3">
        <f t="shared" si="79"/>
        <v>-269.12815699999999</v>
      </c>
      <c r="EL122" s="3">
        <f t="shared" si="79"/>
        <v>-125.271584</v>
      </c>
      <c r="FC122" s="32">
        <v>118.7076</v>
      </c>
      <c r="FD122" s="16"/>
    </row>
    <row r="123" spans="3:160" x14ac:dyDescent="0.2"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</sheetData>
  <mergeCells count="33">
    <mergeCell ref="DN2:DS2"/>
    <mergeCell ref="EM1:ER1"/>
    <mergeCell ref="ES2:FB2"/>
    <mergeCell ref="ES4:FB4"/>
    <mergeCell ref="AP4:BH4"/>
    <mergeCell ref="AP2:BH2"/>
    <mergeCell ref="BV4:CN4"/>
    <mergeCell ref="CU4:DM4"/>
    <mergeCell ref="CU2:DM2"/>
    <mergeCell ref="DT2:EL2"/>
    <mergeCell ref="DT4:EL4"/>
    <mergeCell ref="DN4:DS4"/>
    <mergeCell ref="BV2:CN2"/>
    <mergeCell ref="CO2:CT2"/>
    <mergeCell ref="CO4:CT4"/>
    <mergeCell ref="BI4:BN4"/>
    <mergeCell ref="BI2:BN2"/>
    <mergeCell ref="ES1:FB1"/>
    <mergeCell ref="EM2:ER2"/>
    <mergeCell ref="EM4:ER4"/>
    <mergeCell ref="K1:AC1"/>
    <mergeCell ref="AD1:AI1"/>
    <mergeCell ref="AJ1:AO1"/>
    <mergeCell ref="AP1:BH1"/>
    <mergeCell ref="BI1:BN1"/>
    <mergeCell ref="BV1:CN1"/>
    <mergeCell ref="CO1:CT1"/>
    <mergeCell ref="K2:AC2"/>
    <mergeCell ref="AD2:AI2"/>
    <mergeCell ref="AJ2:AO2"/>
    <mergeCell ref="CU1:DM1"/>
    <mergeCell ref="DN1:DS1"/>
    <mergeCell ref="DT1:EL1"/>
  </mergeCells>
  <phoneticPr fontId="7" type="noConversion"/>
  <hyperlinks>
    <hyperlink ref="F1" r:id="rId1" display="https://doi.org/10.1038/s41467-021-22429-0" xr:uid="{6E725FAB-9263-448F-9322-CCD6224EF2F5}"/>
    <hyperlink ref="H1" r:id="rId2" xr:uid="{32B73C9D-8188-4EBE-912B-C341C3517EC8}"/>
    <hyperlink ref="I1" r:id="rId3" xr:uid="{F7801C3C-2B74-4B10-BA22-4FDC779EF84C}"/>
    <hyperlink ref="J1" r:id="rId4" xr:uid="{6F79544F-C173-4005-990B-4650D2DB28AF}"/>
    <hyperlink ref="BO1" r:id="rId5" xr:uid="{547349C0-4AF7-4333-94E7-B7EA7F2092AF}"/>
    <hyperlink ref="BP1" r:id="rId6" xr:uid="{693448EF-CE45-433F-85B4-E4B8B79D90BE}"/>
    <hyperlink ref="BQ1" r:id="rId7" xr:uid="{309E19F4-50B1-42C8-94CF-EB1CBCAB4898}"/>
    <hyperlink ref="BR1" r:id="rId8" xr:uid="{41EBA78A-472B-4079-A7E6-B09F91178D2A}"/>
  </hyperlinks>
  <pageMargins left="0.7" right="0.7" top="0.75" bottom="0.75" header="0.3" footer="0.3"/>
  <pageSetup orientation="portrait" horizontalDpi="0" verticalDpi="0"/>
  <legacy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Ellis Mensah</dc:creator>
  <cp:lastModifiedBy>Victor Norman</cp:lastModifiedBy>
  <dcterms:created xsi:type="dcterms:W3CDTF">2025-08-14T13:02:35Z</dcterms:created>
  <dcterms:modified xsi:type="dcterms:W3CDTF">2025-08-29T16:13:45Z</dcterms:modified>
</cp:coreProperties>
</file>